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6d204eaa142d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October" sheetId="1" r:id="Rf50a0da2c36a4aa0"/>
  </x:sheets>
  <x:calcPr calcId="0" fullCalcOnLoad="1"/>
</x:workbook>
</file>

<file path=xl/sharedStrings.xml><?xml version="1.0" encoding="utf-8"?>
<x:sst xmlns:x="http://schemas.openxmlformats.org/spreadsheetml/2006/main" count="43" uniqueCount="43">
  <x:si>
    <x:t xml:space="preserve">Household Budget · October 2026</x:t>
  </x:si>
  <x:si>
    <x:t xml:space="preserve">Income</x:t>
  </x:si>
  <x:si>
    <x:t xml:space="preserve">Spending</x:t>
  </x:si>
  <x:si>
    <x:t xml:space="preserve">Left over</x:t>
  </x:si>
  <x:si>
    <x:t xml:space="preserve">Saved</x:t>
  </x:si>
  <x:si>
    <x:t xml:space="preserve">Group</x:t>
  </x:si>
  <x:si>
    <x:t xml:space="preserve">Item</x:t>
  </x:si>
  <x:si>
    <x:t xml:space="preserve">Budget</x:t>
  </x:si>
  <x:si>
    <x:t xml:space="preserve">Actual</x:t>
  </x:si>
  <x:si>
    <x:t xml:space="preserve">Difference</x:t>
  </x:si>
  <x:si>
    <x:t xml:space="preserve">Used</x:t>
  </x:si>
  <x:si>
    <x:t xml:space="preserve">Notes</x:t>
  </x:si>
  <x:si>
    <x:t xml:space="preserve">Income</x:t>
  </x:si>
  <x:si>
    <x:t xml:space="preserve">Salary</x:t>
  </x:si>
  <x:si>
    <x:t xml:space="preserve">Income</x:t>
  </x:si>
  <x:si>
    <x:t xml:space="preserve">Bonus</x:t>
  </x:si>
  <x:si>
    <x:t xml:space="preserve">Part of the quarterly bonus is late</x:t>
  </x:si>
  <x:si>
    <x:t xml:space="preserve">Income</x:t>
  </x:si>
  <x:si>
    <x:t xml:space="preserve">Other</x:t>
  </x:si>
  <x:si>
    <x:t xml:space="preserve">Income total</x:t>
  </x:si>
  <x:si>
    <x:t xml:space="preserve">Spending</x:t>
  </x:si>
  <x:si>
    <x:t xml:space="preserve">Rent / mortgage</x:t>
  </x:si>
  <x:si>
    <x:t xml:space="preserve">Spending</x:t>
  </x:si>
  <x:si>
    <x:t xml:space="preserve">Food</x:t>
  </x:si>
  <x:si>
    <x:t xml:space="preserve">Spending</x:t>
  </x:si>
  <x:si>
    <x:t xml:space="preserve">Transport</x:t>
  </x:si>
  <x:si>
    <x:t xml:space="preserve">Spending</x:t>
  </x:si>
  <x:si>
    <x:t xml:space="preserve">Phone &amp; internet</x:t>
  </x:si>
  <x:si>
    <x:t xml:space="preserve">Spending</x:t>
  </x:si>
  <x:si>
    <x:t xml:space="preserve">Utilities</x:t>
  </x:si>
  <x:si>
    <x:t xml:space="preserve">Spending</x:t>
  </x:si>
  <x:si>
    <x:t xml:space="preserve">Shopping</x:t>
  </x:si>
  <x:si>
    <x:t xml:space="preserve">Autumn clothes</x:t>
  </x:si>
  <x:si>
    <x:t xml:space="preserve">Spending</x:t>
  </x:si>
  <x:si>
    <x:t xml:space="preserve">Leisure</x:t>
  </x:si>
  <x:si>
    <x:t xml:space="preserve">Spending</x:t>
  </x:si>
  <x:si>
    <x:t xml:space="preserve">Learning</x:t>
  </x:si>
  <x:si>
    <x:t xml:space="preserve">Spending</x:t>
  </x:si>
  <x:si>
    <x:t xml:space="preserve">Health</x:t>
  </x:si>
  <x:si>
    <x:t xml:space="preserve">Spending</x:t>
  </x:si>
  <x:si>
    <x:t xml:space="preserve">Savings</x:t>
  </x:si>
  <x:si>
    <x:t xml:space="preserve">Counted as spending, on top of what is left</x:t>
  </x:si>
  <x:si>
    <x:t xml:space="preserve">Spending total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</x:si>
</x:sst>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b/>
      <x:sz val="16"/>
      <x:color rgb="FF000000"/>
      <x:name val="Calibri"/>
      <x:family val="2"/>
    </x:font>
    <x:font>
      <x:b/>
      <x:sz val="16"/>
      <x:color rgb="FF2F5D8A"/>
      <x:name val="Calibri"/>
      <x:family val="2"/>
    </x:font>
    <x:font>
      <x:sz val="11"/>
      <x:color rgb="FF5B6B7C"/>
      <x:name val="Calibri"/>
      <x:family val="2"/>
    </x:font>
    <x:font>
      <x:sz val="10"/>
      <x:color rgb="FF5B6B7C"/>
      <x:name val="Calibri"/>
      <x:family val="2"/>
    </x:font>
    <x:font>
      <x:b/>
      <x:sz val="11"/>
      <x:color rgb="FFFFFFFF"/>
      <x:name val="Calibri"/>
      <x:family val="2"/>
    </x:font>
    <x:font>
      <x:b/>
      <x:sz val="11"/>
      <x:color rgb="FF5B6B7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2F5D8A"/>
        <x:bgColor indexed="64"/>
      </x:patternFill>
    </x:fill>
    <x:fill>
      <x:patternFill patternType="solid">
        <x:fgColor rgb="FFEAF1F8"/>
        <x:bgColor indexed="64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thin">
        <x:color rgb="FFC5D6E8"/>
      </x:left>
      <x:right style="thin">
        <x:color rgb="FFC5D6E8"/>
      </x:right>
      <x:top style="thin">
        <x:color rgb="FFC5D6E8"/>
      </x:top>
      <x:bottom style="thin">
        <x:color rgb="FFC5D6E8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  <x:xf numFmtId="4" fontId="3" fillId="0" borderId="0" xfId="0" applyNumberFormat="1" applyFont="1"/>
    <x:xf numFmtId="4" fontId="3" fillId="0" borderId="0" xfId="0" applyNumberFormat="1" applyFont="1" applyAlignment="1">
      <x:alignment horizontal="left"/>
    </x:xf>
    <x:xf numFmtId="164" fontId="3" fillId="0" borderId="0" xfId="0" applyNumberFormat="1" applyFont="1"/>
    <x:xf numFmtId="164" fontId="3" fillId="0" borderId="0" xfId="0" applyNumberFormat="1" applyFont="1" applyAlignment="1">
      <x:alignment horizontal="left"/>
    </x:xf>
    <x:xf numFmtId="0" fontId="1" fillId="2" borderId="0" xfId="0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vertical="center"/>
    </x:xf>
    <x:xf numFmtId="0" fontId="1" fillId="3" borderId="0" xfId="0" applyFont="1" applyFill="1"/>
    <x:xf numFmtId="4" fontId="0" fillId="0" borderId="0" xfId="0" applyNumberFormat="1"/>
    <x:xf numFmtId="4" fontId="1" fillId="3" borderId="0" xfId="0" applyNumberFormat="1" applyFont="1" applyFill="1"/>
    <x:xf numFmtId="164" fontId="0" fillId="0" borderId="0" xfId="0" applyNumberFormat="1"/>
    <x:xf numFmtId="164" fontId="1" fillId="3" borderId="0" xfId="0" applyNumberFormat="1" applyFont="1" applyFill="1"/>
    <x:xf numFmtId="0" fontId="7" fillId="3" borderId="0" xfId="0" applyFont="1" applyFill="1"/>
    <x:xf numFmtId="0" fontId="4" fillId="0" borderId="1" xfId="0" applyFont="1" applyBorder="1"/>
    <x:xf numFmtId="0" fontId="0" fillId="0" borderId="1" xfId="0" applyBorder="1"/>
    <x:xf numFmtId="4" fontId="0" fillId="0" borderId="1" xfId="0" applyNumberFormat="1" applyBorder="1"/>
    <x:xf numFmtId="164" fontId="0" fillId="0" borderId="1" xfId="0" applyNumberFormat="1" applyBorder="1"/>
    <x:xf numFmtId="0" fontId="7" fillId="3" borderId="1" xfId="0" applyFont="1" applyFill="1" applyBorder="1"/>
    <x:xf numFmtId="0" fontId="1" fillId="3" borderId="1" xfId="0" applyFont="1" applyFill="1" applyBorder="1"/>
    <x:xf numFmtId="4" fontId="1" fillId="3" borderId="1" xfId="0" applyNumberFormat="1" applyFont="1" applyFill="1" applyBorder="1"/>
    <x:xf numFmtId="164" fontId="1" fillId="3" borderId="1" xfId="0" applyNumberFormat="1" applyFont="1" applyFill="1" applyBorder="1"/>
    <x:xf numFmtId="0" fontId="4" fillId="0" borderId="2" xfId="0" applyFont="1" applyBorder="1"/>
    <x:xf numFmtId="0" fontId="0" fillId="0" borderId="2" xfId="0" applyBorder="1"/>
    <x:xf numFmtId="4" fontId="0" fillId="0" borderId="2" xfId="0" applyNumberFormat="1" applyBorder="1"/>
    <x:xf numFmtId="164" fontId="0" fillId="0" borderId="2" xfId="0" applyNumberFormat="1" applyBorder="1"/>
    <x:xf numFmtId="0" fontId="7" fillId="3" borderId="2" xfId="0" applyFont="1" applyFill="1" applyBorder="1"/>
    <x:xf numFmtId="0" fontId="1" fillId="3" borderId="2" xfId="0" applyFont="1" applyFill="1" applyBorder="1"/>
    <x:xf numFmtId="4" fontId="1" fillId="3" borderId="2" xfId="0" applyNumberFormat="1" applyFont="1" applyFill="1" applyBorder="1"/>
    <x:xf numFmtId="164" fontId="1" fillId="3" borderId="2" xfId="0" applyNumberFormat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0a0da2c36a4aa0" /><Relationship Type="http://schemas.openxmlformats.org/officeDocument/2006/relationships/styles" Target="/xl/styles.xml" Id="Rf9f81b0478eb4cac" /><Relationship Type="http://schemas.openxmlformats.org/officeDocument/2006/relationships/sharedStrings" Target="/xl/sharedStrings.xml" Id="R756dbb0376e649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ec307c00074cdb" /></Relationships>
</file>

<file path=xl/drawings/charts/chart1.xml><?xml version="1.0" encoding="utf-8"?>
<c:chartSpace xmlns:c="http://schemas.openxmlformats.org/drawingml/2006/chart" xmlns:a="http://schemas.openxmlformats.org/drawingml/2006/main">
  <c:roundedCorners val="0"/>
  <c:chart>
    <c:title>
      <c:tx>
        <c:rich>
          <a:bodyPr/>
          <a:lstStyle/>
          <a:p>
            <a:pPr>
              <a:defRPr/>
            </a:pPr>
            <a:r>
              <a:t>Spending: budget and actual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October!$C$6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strRef>
              <c:f>October!$B$11:$B$20</c:f>
              <c:strCache>
                <c:ptCount val="10"/>
                <c:pt idx="0">
                  <c:v>Rent / mortgage</c:v>
                </c:pt>
                <c:pt idx="1">
                  <c:v>Food</c:v>
                </c:pt>
                <c:pt idx="2">
                  <c:v>Transport</c:v>
                </c:pt>
                <c:pt idx="3">
                  <c:v>Phone &amp; internet</c:v>
                </c:pt>
                <c:pt idx="4">
                  <c:v>Utilities</c:v>
                </c:pt>
                <c:pt idx="5">
                  <c:v>Shopping</c:v>
                </c:pt>
                <c:pt idx="6">
                  <c:v>Leisure</c:v>
                </c:pt>
                <c:pt idx="7">
                  <c:v>Learning</c:v>
                </c:pt>
                <c:pt idx="8">
                  <c:v>Health</c:v>
                </c:pt>
                <c:pt idx="9">
                  <c:v>Savings</c:v>
                </c:pt>
              </c:strCache>
            </c:strRef>
          </c:cat>
          <c:val>
            <c:numRef>
              <c:f>October!$C$11:$C$20</c:f>
              <c:numCache>
                <c:formatCode>General</c:formatCode>
                <c:ptCount val="10"/>
                <c:pt idx="0">
                  <c:v>5000</c:v>
                </c:pt>
                <c:pt idx="1">
                  <c:v>3000</c:v>
                </c:pt>
                <c:pt idx="2">
                  <c:v>800</c:v>
                </c:pt>
                <c:pt idx="3">
                  <c:v>200</c:v>
                </c:pt>
                <c:pt idx="4">
                  <c:v>400</c:v>
                </c:pt>
                <c:pt idx="5">
                  <c:v>1500</c:v>
                </c:pt>
                <c:pt idx="6">
                  <c:v>600</c:v>
                </c:pt>
                <c:pt idx="7">
                  <c:v>800</c:v>
                </c:pt>
                <c:pt idx="8">
                  <c:v>300</c:v>
                </c:pt>
                <c:pt idx="9">
                  <c:v>3000</c:v>
                </c:pt>
              </c:numCache>
            </c:numRef>
          </c:val>
        </c:ser>
        <c:ser>
          <c:idx val="1"/>
          <c:order val="1"/>
          <c:tx>
            <c:strRef>
              <c:f>October!$D$6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strRef>
              <c:f>October!$B$11:$B$20</c:f>
              <c:strCache>
                <c:ptCount val="10"/>
                <c:pt idx="0">
                  <c:v>Rent / mortgage</c:v>
                </c:pt>
                <c:pt idx="1">
                  <c:v>Food</c:v>
                </c:pt>
                <c:pt idx="2">
                  <c:v>Transport</c:v>
                </c:pt>
                <c:pt idx="3">
                  <c:v>Phone &amp; internet</c:v>
                </c:pt>
                <c:pt idx="4">
                  <c:v>Utilities</c:v>
                </c:pt>
                <c:pt idx="5">
                  <c:v>Shopping</c:v>
                </c:pt>
                <c:pt idx="6">
                  <c:v>Leisure</c:v>
                </c:pt>
                <c:pt idx="7">
                  <c:v>Learning</c:v>
                </c:pt>
                <c:pt idx="8">
                  <c:v>Health</c:v>
                </c:pt>
                <c:pt idx="9">
                  <c:v>Savings</c:v>
                </c:pt>
              </c:strCache>
            </c:strRef>
          </c:cat>
          <c:val>
            <c:numRef>
              <c:f>October!$D$11:$D$20</c:f>
              <c:numCache>
                <c:formatCode>General</c:formatCode>
                <c:ptCount val="10"/>
                <c:pt idx="0">
                  <c:v>5000</c:v>
                </c:pt>
                <c:pt idx="1">
                  <c:v>3260</c:v>
                </c:pt>
                <c:pt idx="2">
                  <c:v>720</c:v>
                </c:pt>
                <c:pt idx="3">
                  <c:v>200</c:v>
                </c:pt>
                <c:pt idx="4">
                  <c:v>380</c:v>
                </c:pt>
                <c:pt idx="5">
                  <c:v>1880</c:v>
                </c:pt>
                <c:pt idx="6">
                  <c:v>450</c:v>
                </c:pt>
                <c:pt idx="7">
                  <c:v>800</c:v>
                </c:pt>
                <c:pt idx="8">
                  <c:v>120</c:v>
                </c:pt>
                <c:pt idx="9">
                  <c:v>3000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14</xdr:col>
      <xdr:colOff>321600</xdr:colOff>
      <xdr:row>4</xdr:row>
      <xdr:rowOff>59800</xdr:rowOff>
    </xdr:from>
    <xdr:to>
      <xdr:col>22</xdr:col>
      <xdr:colOff>124800</xdr:colOff>
      <xdr:row>20</xdr:row>
      <xdr:rowOff>71800</xdr:rowOff>
    </xdr:to>
    <xdr:graphicFrame macro="">
      <xdr:nvGraphicFramePr>
        <xdr:cNvPr id="2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ec307c00074cdb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6d7ccb175347f5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workbookViewId="0">
      <x:pane ySplit="6" topLeftCell="A7" activePane="bottomLeft" state="frozen"/>
    </x:sheetView>
  </x:sheetViews>
  <x:cols>
    <x:col min="1" max="1" width="9" customWidth="1"/>
    <x:col min="2" max="2" width="16" customWidth="1"/>
    <x:col min="3" max="3" width="11" customWidth="1"/>
    <x:col min="4" max="4" width="11" customWidth="1"/>
    <x:col min="5" max="5" width="11" customWidth="1"/>
    <x:col min="6" max="6" width="9" customWidth="1"/>
    <x:col min="7" max="7" width="24" customWidth="1"/>
  </x:cols>
  <x:sheetData>
    <x:row r="1" ht="30" customHeight="1">
      <x:c r="A1" s="3" t="s">
        <x:v>0</x:v>
      </x:c>
    </x:row>
    <x:row r="3">
      <x:c r="A3" s="5" t="s">
        <x:v>1</x:v>
      </x:c>
      <x:c r="C3" s="5" t="s">
        <x:v>2</x:v>
      </x:c>
      <x:c r="E3" s="5" t="s">
        <x:v>3</x:v>
      </x:c>
      <x:c r="G3" s="5" t="s">
        <x:v>4</x:v>
      </x:c>
    </x:row>
    <x:row r="4" ht="26" customHeight="1">
      <x:c r="A4" s="7">
        <x:f>D10</x:f>
      </x:c>
      <x:c r="C4" s="7">
        <x:f>D21</x:f>
      </x:c>
      <x:c r="E4" s="7">
        <x:f>A4-C4</x:f>
      </x:c>
      <x:c r="G4" s="9">
        <x:f>IFERROR((A4-C4+D20)/A4,0)</x:f>
      </x:c>
    </x:row>
    <x:row r="6" ht="22" customHeight="1">
      <x:c r="A6" s="13" t="s">
        <x:v>5</x:v>
      </x:c>
      <x:c r="B6" s="13" t="s">
        <x:v>6</x:v>
      </x:c>
      <x:c r="C6" s="13" t="s">
        <x:v>7</x:v>
      </x:c>
      <x:c r="D6" s="13" t="s">
        <x:v>8</x:v>
      </x:c>
      <x:c r="E6" s="13" t="s">
        <x:v>9</x:v>
      </x:c>
      <x:c r="F6" s="13" t="s">
        <x:v>10</x:v>
      </x:c>
      <x:c r="G6" s="13" t="s">
        <x:v>11</x:v>
      </x:c>
    </x:row>
    <x:row r="7">
      <x:c r="A7" s="28" t="s">
        <x:v>12</x:v>
      </x:c>
      <x:c r="B7" s="29" t="s">
        <x:v>13</x:v>
      </x:c>
      <x:c r="C7" s="30">
        <x:v>15000</x:v>
      </x:c>
      <x:c r="D7" s="30">
        <x:v>15000</x:v>
      </x:c>
      <x:c r="E7" s="30">
        <x:f>C7-D7</x:f>
      </x:c>
      <x:c r="F7" s="31">
        <x:f>IFERROR(D7/C7,0)</x:f>
      </x:c>
      <x:c r="G7" s="29"/>
    </x:row>
    <x:row r="8">
      <x:c r="A8" s="28" t="s">
        <x:v>14</x:v>
      </x:c>
      <x:c r="B8" s="29" t="s">
        <x:v>15</x:v>
      </x:c>
      <x:c r="C8" s="30">
        <x:v>2000</x:v>
      </x:c>
      <x:c r="D8" s="30">
        <x:v>1500</x:v>
      </x:c>
      <x:c r="E8" s="30">
        <x:f>C8-D8</x:f>
      </x:c>
      <x:c r="F8" s="31">
        <x:f>IFERROR(D8/C8,0)</x:f>
      </x:c>
      <x:c r="G8" s="29" t="s">
        <x:v>16</x:v>
      </x:c>
    </x:row>
    <x:row r="9">
      <x:c r="A9" s="28" t="s">
        <x:v>17</x:v>
      </x:c>
      <x:c r="B9" s="29" t="s">
        <x:v>18</x:v>
      </x:c>
      <x:c r="C9" s="30">
        <x:v>500</x:v>
      </x:c>
      <x:c r="D9" s="30">
        <x:v>800</x:v>
      </x:c>
      <x:c r="E9" s="30">
        <x:f>C9-D9</x:f>
      </x:c>
      <x:c r="F9" s="31">
        <x:f>IFERROR(D9/C9,0)</x:f>
      </x:c>
      <x:c r="G9" s="29"/>
    </x:row>
    <x:row r="10">
      <x:c r="A10" s="32" t="s">
        <x:v>19</x:v>
      </x:c>
      <x:c r="B10" s="33"/>
      <x:c r="C10" s="34">
        <x:f>SUM(C7:C9)</x:f>
      </x:c>
      <x:c r="D10" s="34">
        <x:f>SUM(D7:D9)</x:f>
      </x:c>
      <x:c r="E10" s="34">
        <x:f>C10-D10</x:f>
      </x:c>
      <x:c r="F10" s="35">
        <x:f>IFERROR(D10/C10,0)</x:f>
      </x:c>
      <x:c r="G10" s="33"/>
    </x:row>
    <x:row r="11">
      <x:c r="A11" s="28" t="s">
        <x:v>20</x:v>
      </x:c>
      <x:c r="B11" s="29" t="s">
        <x:v>21</x:v>
      </x:c>
      <x:c r="C11" s="30">
        <x:v>5000</x:v>
      </x:c>
      <x:c r="D11" s="30">
        <x:v>5000</x:v>
      </x:c>
      <x:c r="E11" s="30">
        <x:f>C11-D11</x:f>
      </x:c>
      <x:c r="F11" s="31">
        <x:f>IFERROR(D11/C11,0)</x:f>
      </x:c>
      <x:c r="G11" s="29"/>
    </x:row>
    <x:row r="12">
      <x:c r="A12" s="28" t="s">
        <x:v>22</x:v>
      </x:c>
      <x:c r="B12" s="29" t="s">
        <x:v>23</x:v>
      </x:c>
      <x:c r="C12" s="30">
        <x:v>3000</x:v>
      </x:c>
      <x:c r="D12" s="30">
        <x:v>3260</x:v>
      </x:c>
      <x:c r="E12" s="30">
        <x:f>C12-D12</x:f>
      </x:c>
      <x:c r="F12" s="31">
        <x:f>IFERROR(D12/C12,0)</x:f>
      </x:c>
      <x:c r="G12" s="29"/>
    </x:row>
    <x:row r="13">
      <x:c r="A13" s="28" t="s">
        <x:v>24</x:v>
      </x:c>
      <x:c r="B13" s="29" t="s">
        <x:v>25</x:v>
      </x:c>
      <x:c r="C13" s="30">
        <x:v>800</x:v>
      </x:c>
      <x:c r="D13" s="30">
        <x:v>720</x:v>
      </x:c>
      <x:c r="E13" s="30">
        <x:f>C13-D13</x:f>
      </x:c>
      <x:c r="F13" s="31">
        <x:f>IFERROR(D13/C13,0)</x:f>
      </x:c>
      <x:c r="G13" s="29"/>
    </x:row>
    <x:row r="14">
      <x:c r="A14" s="28" t="s">
        <x:v>26</x:v>
      </x:c>
      <x:c r="B14" s="29" t="s">
        <x:v>27</x:v>
      </x:c>
      <x:c r="C14" s="30">
        <x:v>200</x:v>
      </x:c>
      <x:c r="D14" s="30">
        <x:v>200</x:v>
      </x:c>
      <x:c r="E14" s="30">
        <x:f>C14-D14</x:f>
      </x:c>
      <x:c r="F14" s="31">
        <x:f>IFERROR(D14/C14,0)</x:f>
      </x:c>
      <x:c r="G14" s="29"/>
    </x:row>
    <x:row r="15">
      <x:c r="A15" s="28" t="s">
        <x:v>28</x:v>
      </x:c>
      <x:c r="B15" s="29" t="s">
        <x:v>29</x:v>
      </x:c>
      <x:c r="C15" s="30">
        <x:v>400</x:v>
      </x:c>
      <x:c r="D15" s="30">
        <x:v>380</x:v>
      </x:c>
      <x:c r="E15" s="30">
        <x:f>C15-D15</x:f>
      </x:c>
      <x:c r="F15" s="31">
        <x:f>IFERROR(D15/C15,0)</x:f>
      </x:c>
      <x:c r="G15" s="29"/>
    </x:row>
    <x:row r="16">
      <x:c r="A16" s="28" t="s">
        <x:v>30</x:v>
      </x:c>
      <x:c r="B16" s="29" t="s">
        <x:v>31</x:v>
      </x:c>
      <x:c r="C16" s="30">
        <x:v>1500</x:v>
      </x:c>
      <x:c r="D16" s="30">
        <x:v>1880</x:v>
      </x:c>
      <x:c r="E16" s="30">
        <x:f>C16-D16</x:f>
      </x:c>
      <x:c r="F16" s="31">
        <x:f>IFERROR(D16/C16,0)</x:f>
      </x:c>
      <x:c r="G16" s="29" t="s">
        <x:v>32</x:v>
      </x:c>
    </x:row>
    <x:row r="17">
      <x:c r="A17" s="28" t="s">
        <x:v>33</x:v>
      </x:c>
      <x:c r="B17" s="29" t="s">
        <x:v>34</x:v>
      </x:c>
      <x:c r="C17" s="30">
        <x:v>600</x:v>
      </x:c>
      <x:c r="D17" s="30">
        <x:v>450</x:v>
      </x:c>
      <x:c r="E17" s="30">
        <x:f>C17-D17</x:f>
      </x:c>
      <x:c r="F17" s="31">
        <x:f>IFERROR(D17/C17,0)</x:f>
      </x:c>
      <x:c r="G17" s="29"/>
    </x:row>
    <x:row r="18">
      <x:c r="A18" s="28" t="s">
        <x:v>35</x:v>
      </x:c>
      <x:c r="B18" s="29" t="s">
        <x:v>36</x:v>
      </x:c>
      <x:c r="C18" s="30">
        <x:v>800</x:v>
      </x:c>
      <x:c r="D18" s="30">
        <x:v>800</x:v>
      </x:c>
      <x:c r="E18" s="30">
        <x:f>C18-D18</x:f>
      </x:c>
      <x:c r="F18" s="31">
        <x:f>IFERROR(D18/C18,0)</x:f>
      </x:c>
      <x:c r="G18" s="29"/>
    </x:row>
    <x:row r="19">
      <x:c r="A19" s="28" t="s">
        <x:v>37</x:v>
      </x:c>
      <x:c r="B19" s="29" t="s">
        <x:v>38</x:v>
      </x:c>
      <x:c r="C19" s="30">
        <x:v>300</x:v>
      </x:c>
      <x:c r="D19" s="30">
        <x:v>120</x:v>
      </x:c>
      <x:c r="E19" s="30">
        <x:f>C19-D19</x:f>
      </x:c>
      <x:c r="F19" s="31">
        <x:f>IFERROR(D19/C19,0)</x:f>
      </x:c>
      <x:c r="G19" s="29"/>
    </x:row>
    <x:row r="20">
      <x:c r="A20" s="28" t="s">
        <x:v>39</x:v>
      </x:c>
      <x:c r="B20" s="29" t="s">
        <x:v>40</x:v>
      </x:c>
      <x:c r="C20" s="30">
        <x:v>3000</x:v>
      </x:c>
      <x:c r="D20" s="30">
        <x:v>3000</x:v>
      </x:c>
      <x:c r="E20" s="30">
        <x:f>C20-D20</x:f>
      </x:c>
      <x:c r="F20" s="31">
        <x:f>IFERROR(D20/C20,0)</x:f>
      </x:c>
      <x:c r="G20" s="29" t="s">
        <x:v>41</x:v>
      </x:c>
    </x:row>
    <x:row r="21">
      <x:c r="A21" s="32" t="s">
        <x:v>42</x:v>
      </x:c>
      <x:c r="B21" s="33"/>
      <x:c r="C21" s="34">
        <x:f>SUM(C11:C20)</x:f>
      </x:c>
      <x:c r="D21" s="34">
        <x:f>SUM(D11:D20)</x:f>
      </x:c>
      <x:c r="E21" s="34">
        <x:f>C21-D21</x:f>
      </x:c>
      <x:c r="F21" s="35">
        <x:f>IFERROR(D21/C21,0)</x:f>
      </x:c>
      <x:c r="G21" s="33"/>
    </x:row>
  </x:sheetData>
  <x:mergeCells count="9">
    <x:mergeCell ref="A1:G1"/>
    <x:mergeCell ref="A3:B3"/>
    <x:mergeCell ref="A4:B4"/>
    <x:mergeCell ref="C3:D3"/>
    <x:mergeCell ref="C4:D4"/>
    <x:mergeCell ref="E3:F3"/>
    <x:mergeCell ref="E4:F4"/>
    <x:mergeCell ref="A10:B10"/>
    <x:mergeCell ref="A21:B21"/>
  </x:mergeCells>
  <x:drawing xmlns:r="http://schemas.openxmlformats.org/officeDocument/2006/relationships" r:id="R9f6d7ccb175347f5"/>
</x:worksheet>
</file>