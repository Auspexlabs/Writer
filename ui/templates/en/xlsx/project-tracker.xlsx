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f532986f243e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chedule" sheetId="1" r:id="Rea35fbee59624a4b"/>
  </x:sheets>
  <x:calcPr calcId="0" fullCalcOnLoad="1"/>
</x:workbook>
</file>

<file path=xl/sharedStrings.xml><?xml version="1.0" encoding="utf-8"?>
<x:sst xmlns:x="http://schemas.openxmlformats.org/spreadsheetml/2006/main" count="51" uniqueCount="51">
  <x:si>
    <x:t xml:space="preserve">Website Redesign · Project Tracker</x:t>
  </x:si>
  <x:si>
    <x:t xml:space="preserve">As of</x:t>
  </x:si>
  <x:si>
    <x:t xml:space="preserve">Tasks</x:t>
  </x:si>
  <x:si>
    <x:t xml:space="preserve">Done</x:t>
  </x:si>
  <x:si>
    <x:t xml:space="preserve">Late</x:t>
  </x:si>
  <x:si>
    <x:t xml:space="preserve">Overall</x:t>
  </x:si>
  <x:si>
    <x:t xml:space="preserve">#</x:t>
  </x:si>
  <x:si>
    <x:t xml:space="preserve">Task</x:t>
  </x:si>
  <x:si>
    <x:t xml:space="preserve">Phase</x:t>
  </x:si>
  <x:si>
    <x:t xml:space="preserve">Owner</x:t>
  </x:si>
  <x:si>
    <x:t xml:space="preserve">Start</x:t>
  </x:si>
  <x:si>
    <x:t xml:space="preserve">End</x:t>
  </x:si>
  <x:si>
    <x:t xml:space="preserve">Days</x:t>
  </x:si>
  <x:si>
    <x:t xml:space="preserve">Progress</x:t>
  </x:si>
  <x:si>
    <x:t xml:space="preserve">Status</x:t>
  </x:si>
  <x:si>
    <x:t xml:space="preserve">User research</x:t>
  </x:si>
  <x:si>
    <x:t xml:space="preserve">Discovery</x:t>
  </x:si>
  <x:si>
    <x:t xml:space="preserve">Alex Chen</x:t>
  </x:si>
  <x:si>
    <x:t xml:space="preserve">Information architecture</x:t>
  </x:si>
  <x:si>
    <x:t xml:space="preserve">Discovery</x:t>
  </x:si>
  <x:si>
    <x:t xml:space="preserve">Alex Chen</x:t>
  </x:si>
  <x:si>
    <x:t xml:space="preserve">Visual direction</x:t>
  </x:si>
  <x:si>
    <x:t xml:space="preserve">Design</x:t>
  </x:si>
  <x:si>
    <x:t xml:space="preserve">Jordan Lee</x:t>
  </x:si>
  <x:si>
    <x:t xml:space="preserve">Page design</x:t>
  </x:si>
  <x:si>
    <x:t xml:space="preserve">Design</x:t>
  </x:si>
  <x:si>
    <x:t xml:space="preserve">Jordan Lee</x:t>
  </x:si>
  <x:si>
    <x:t xml:space="preserve">Design review</x:t>
  </x:si>
  <x:si>
    <x:t xml:space="preserve">Design</x:t>
  </x:si>
  <x:si>
    <x:t xml:space="preserve">Sam Taylor</x:t>
  </x:si>
  <x:si>
    <x:t xml:space="preserve">Front-end build</x:t>
  </x:si>
  <x:si>
    <x:t xml:space="preserve">Build</x:t>
  </x:si>
  <x:si>
    <x:t xml:space="preserve">Casey Kim</x:t>
  </x:si>
  <x:si>
    <x:t xml:space="preserve">CMS integration</x:t>
  </x:si>
  <x:si>
    <x:t xml:space="preserve">Build</x:t>
  </x:si>
  <x:si>
    <x:t xml:space="preserve">Casey Kim</x:t>
  </x:si>
  <x:si>
    <x:t xml:space="preserve">Content migration</x:t>
  </x:si>
  <x:si>
    <x:t xml:space="preserve">Build</x:t>
  </x:si>
  <x:si>
    <x:t xml:space="preserve">Morgan Reed</x:t>
  </x:si>
  <x:si>
    <x:t xml:space="preserve">QA</x:t>
  </x:si>
  <x:si>
    <x:t xml:space="preserve">Launch</x:t>
  </x:si>
  <x:si>
    <x:t xml:space="preserve">Morgan Reed</x:t>
  </x:si>
  <x:si>
    <x:t xml:space="preserve">Performance tuning</x:t>
  </x:si>
  <x:si>
    <x:t xml:space="preserve">Launch</x:t>
  </x:si>
  <x:si>
    <x:t xml:space="preserve">Casey Kim</x:t>
  </x:si>
  <x:si>
    <x:t xml:space="preserve">Staged rollout</x:t>
  </x:si>
  <x:si>
    <x:t xml:space="preserve">Launch</x:t>
  </x:si>
  <x:si>
    <x:t xml:space="preserve">Alex Chen</x:t>
  </x:si>
  <x:si>
    <x:t xml:space="preserve">Launch</x:t>
  </x:si>
  <x:si>
    <x:t xml:space="preserve">Launch</x:t>
  </x:si>
  <x:si>
    <x:t xml:space="preserve">Alex Chen</x:t>
  </x:si>
</x:sst>
</file>

<file path=xl/styles.xml><?xml version="1.0" encoding="utf-8"?>
<x:styleSheet xmlns:x="http://schemas.openxmlformats.org/spreadsheetml/2006/main">
  <x:numFmts count="4">
    <x:numFmt numFmtId="164" formatCode="yyyy-mm-dd"/>
    <x:numFmt numFmtId="165" formatCode="0.0%"/>
    <x:numFmt numFmtId="166" formatCode="m/d"/>
    <x:numFmt numFmtId="167" formatCode="mmm d"/>
  </x:numFmts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4B3B63"/>
      <x:name val="Calibri"/>
      <x:family val="2"/>
    </x:font>
    <x:font>
      <x:sz val="11"/>
      <x:color rgb="FF6D6478"/>
      <x:name val="Calibri"/>
      <x:family val="2"/>
    </x:font>
    <x:font>
      <x:sz val="10"/>
      <x:color rgb="FF6D6478"/>
      <x:name val="Calibri"/>
      <x:family val="2"/>
    </x:font>
    <x:font>
      <x:b/>
      <x:sz val="11"/>
      <x:color rgb="FFFFFFFF"/>
      <x:name val="Calibri"/>
      <x:family val="2"/>
    </x:font>
    <x:font>
      <x:b/>
      <x:sz val="9"/>
      <x:color rgb="FFFFFFFF"/>
      <x:name val="Calibri"/>
      <x:family val="2"/>
    </x:font>
    <x:font>
      <x:sz val="11"/>
      <x:color rgb="FF4B3B63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B3B63"/>
        <x:bgColor indexed="64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D7D0E1"/>
      </x:left>
      <x:right style="thin">
        <x:color rgb="FFD7D0E1"/>
      </x:right>
      <x:top style="thin">
        <x:color rgb="FFD7D0E1"/>
      </x:top>
      <x:bottom style="thin">
        <x:color rgb="FFD7D0E1"/>
      </x:bottom>
      <x:diagonal/>
    </x:border>
    <x:border>
      <x:left style="thin">
        <x:color rgb="FFEDEAF2"/>
      </x:left>
      <x:right style="thin">
        <x:color rgb="FFEDEAF2"/>
      </x:right>
      <x:top style="thin">
        <x:color rgb="FFEDEAF2"/>
      </x:top>
      <x:bottom style="thin">
        <x:color rgb="FFEDEAF2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64" fontId="0" fillId="0" borderId="0" xfId="0" applyNumberFormat="1"/>
    <x:xf numFmtId="0" fontId="4" fillId="0" borderId="0" xfId="0" applyFont="1"/>
    <x:xf numFmtId="0" fontId="5" fillId="0" borderId="0" xfId="0" applyFont="1"/>
    <x:xf numFmtId="164" fontId="1" fillId="0" borderId="0" xfId="0" applyNumberFormat="1" applyFont="1"/>
    <x:xf numFmtId="164" fontId="1" fillId="0" borderId="0" xfId="0" applyNumberFormat="1" applyFont="1" applyAlignment="1">
      <x:alignment horizontal="left"/>
    </x:xf>
    <x:xf numFmtId="3" fontId="3" fillId="0" borderId="0" xfId="0" applyNumberFormat="1" applyFont="1"/>
    <x:xf numFmtId="3" fontId="3" fillId="0" borderId="0" xfId="0" applyNumberFormat="1" applyFont="1" applyAlignment="1">
      <x:alignment horizontal="left"/>
    </x:xf>
    <x:xf numFmtId="165" fontId="3" fillId="0" borderId="0" xfId="0" applyNumberFormat="1" applyFont="1"/>
    <x:xf numFmtId="165" fontId="3" fillId="0" borderId="0" xfId="0" applyNumberFormat="1" applyFont="1" applyAlignment="1">
      <x:alignment horizontal="left"/>
    </x:xf>
    <x:xf numFmtId="0" fontId="1" fillId="2" borderId="0" xfId="0" applyFont="1" applyFill="1"/>
    <x:xf numFmtId="164" fontId="1" fillId="2" borderId="0" xfId="0" applyNumberFormat="1" applyFont="1" applyFill="1"/>
    <x:xf numFmtId="0" fontId="6" fillId="2" borderId="0" xfId="0" applyFont="1" applyFill="1"/>
    <x:xf numFmtId="164" fontId="6" fillId="2" borderId="0" xfId="0" applyNumberFormat="1" applyFont="1" applyFill="1"/>
    <x:xf numFmtId="0" fontId="6" fillId="2" borderId="0" xfId="0" applyFont="1" applyFill="1" applyAlignment="1">
      <x:alignment horizontal="center"/>
    </x:xf>
    <x:xf numFmtId="164" fontId="6" fillId="2" borderId="0" xfId="0" applyNumberFormat="1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164" fontId="6" fillId="2" borderId="0" xfId="0" applyNumberFormat="1" applyFont="1" applyFill="1" applyAlignment="1">
      <x:alignment horizontal="center" vertical="center"/>
    </x:xf>
    <x:xf numFmtId="166" fontId="6" fillId="2" borderId="0" xfId="0" applyNumberFormat="1" applyFont="1" applyFill="1" applyAlignment="1">
      <x:alignment horizontal="center" vertical="center"/>
    </x:xf>
    <x:xf numFmtId="166" fontId="7" fillId="2" borderId="0" xfId="0" applyNumberFormat="1" applyFont="1" applyFill="1" applyAlignment="1">
      <x:alignment horizontal="center" vertical="center"/>
    </x:xf>
    <x:xf numFmtId="167" fontId="0" fillId="0" borderId="0" xfId="0" applyNumberFormat="1"/>
    <x:xf numFmtId="167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0" fontId="4" fillId="0" borderId="0" xfId="0" applyFont="1" applyAlignment="1">
      <x:alignment horizontal="center"/>
    </x:xf>
    <x:xf numFmtId="9" fontId="0" fillId="0" borderId="0" xfId="0" applyNumberFormat="1"/>
    <x:xf numFmtId="9" fontId="0" fillId="0" borderId="0" xfId="0" applyNumberFormat="1" applyAlignment="1">
      <x:alignment horizontal="center"/>
    </x:xf>
    <x:xf numFmtId="0" fontId="8" fillId="0" borderId="0" xfId="0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0" fillId="0" borderId="1" xfId="0" applyBorder="1"/>
    <x:xf numFmtId="167" fontId="0" fillId="0" borderId="1" xfId="0" applyNumberFormat="1" applyBorder="1" applyAlignment="1">
      <x:alignment horizontal="center"/>
    </x:xf>
    <x:xf numFmtId="0" fontId="0" fillId="0" borderId="1" xfId="0" applyBorder="1" applyAlignment="1">
      <x:alignment horizontal="center"/>
    </x:xf>
    <x:xf numFmtId="9" fontId="0" fillId="0" borderId="1" xfId="0" applyNumberFormat="1" applyBorder="1" applyAlignment="1">
      <x:alignment horizontal="center"/>
    </x:xf>
    <x:xf numFmtId="0" fontId="4" fillId="0" borderId="2" xfId="0" applyFont="1" applyBorder="1" applyAlignment="1">
      <x:alignment horizontal="center"/>
    </x:xf>
    <x:xf numFmtId="0" fontId="0" fillId="0" borderId="2" xfId="0" applyBorder="1"/>
    <x:xf numFmtId="167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9" fontId="0" fillId="0" borderId="2" xfId="0" applyNumberFormat="1" applyBorder="1" applyAlignment="1">
      <x:alignment horizontal="center"/>
    </x:xf>
    <x:xf numFmtId="0" fontId="8" fillId="0" borderId="1" xfId="0" applyFont="1" applyBorder="1" applyAlignment="1">
      <x:alignment horizontal="center"/>
    </x:xf>
    <x:xf numFmtId="0" fontId="8" fillId="0" borderId="3" xfId="0" applyFont="1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35fbee59624a4b" /><Relationship Type="http://schemas.openxmlformats.org/officeDocument/2006/relationships/styles" Target="/xl/styles.xml" Id="R24d2062d89104d35" /><Relationship Type="http://schemas.openxmlformats.org/officeDocument/2006/relationships/sharedStrings" Target="/xl/sharedStrings.xml" Id="R1612dd904c7a4333" /></Relationships>
</file>

<file path=xl/worksheets/sheet1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cols>
    <x:col min="1" max="1" width="5" customWidth="1"/>
    <x:col min="2" max="2" width="18" customWidth="1"/>
    <x:col min="3" max="3" width="9" customWidth="1"/>
    <x:col min="4" max="4" width="10" customWidth="1"/>
    <x:col min="5" max="5" width="9" customWidth="1"/>
    <x:col min="6" max="6" width="9" customWidth="1"/>
    <x:col min="7" max="7" width="6" customWidth="1"/>
    <x:col min="8" max="8" width="7" customWidth="1"/>
    <x:col min="9" max="9" width="9" customWidth="1"/>
    <x:col min="10" max="10" width="2" customWidth="1"/>
    <x:col min="11" max="11" width="5.2" customWidth="1"/>
    <x:col min="12" max="12" width="5.2" customWidth="1"/>
    <x:col min="13" max="13" width="5.2" customWidth="1"/>
    <x:col min="14" max="14" width="5.2" customWidth="1"/>
    <x:col min="15" max="15" width="5.2" customWidth="1"/>
    <x:col min="16" max="16" width="5.2" customWidth="1"/>
    <x:col min="17" max="17" width="5.2" customWidth="1"/>
    <x:col min="18" max="18" width="5.2" customWidth="1"/>
    <x:col min="19" max="19" width="5.2" customWidth="1"/>
    <x:col min="20" max="20" width="5.2" customWidth="1"/>
    <x:col min="21" max="21" width="5.2" customWidth="1"/>
    <x:col min="22" max="22" width="5.2" customWidth="1"/>
  </x:cols>
  <x:sheetData>
    <x:row r="1" ht="30" customHeight="1">
      <x:c r="A1" s="3" t="s">
        <x:v>0</x:v>
      </x:c>
    </x:row>
    <x:row r="3">
      <x:c r="A3" s="6" t="s">
        <x:v>1</x:v>
      </x:c>
      <x:c r="B3" s="8">
        <x:v>46310</x:v>
      </x:c>
      <x:c r="D3" s="6" t="s">
        <x:v>2</x:v>
      </x:c>
      <x:c r="F3" s="6" t="s">
        <x:v>3</x:v>
      </x:c>
      <x:c r="H3" s="6" t="s">
        <x:v>4</x:v>
      </x:c>
      <x:c r="J3" s="6" t="s">
        <x:v>5</x:v>
      </x:c>
    </x:row>
    <x:row r="4" ht="26" customHeight="1">
      <x:c r="D4" s="10">
        <x:f>COUNTA(B7:B40)</x:f>
      </x:c>
      <x:c r="F4" s="10">
        <x:f>COUNTIF(I7:I40,"Done")</x:f>
      </x:c>
      <x:c r="H4" s="10">
        <x:f>COUNTIF(I7:I40,"Late")</x:f>
      </x:c>
      <x:c r="J4" s="12">
        <x:f>AVERAGE(H7:H40)</x:f>
      </x:c>
    </x:row>
    <x:row r="6" ht="22" customHeight="1">
      <x:c r="A6" s="19" t="s">
        <x:v>6</x:v>
      </x:c>
      <x:c r="B6" s="19" t="s">
        <x:v>7</x:v>
      </x:c>
      <x:c r="C6" s="19" t="s">
        <x:v>8</x:v>
      </x:c>
      <x:c r="D6" s="19" t="s">
        <x:v>9</x:v>
      </x:c>
      <x:c r="E6" s="19" t="s">
        <x:v>10</x:v>
      </x:c>
      <x:c r="F6" s="19" t="s">
        <x:v>11</x:v>
      </x:c>
      <x:c r="G6" s="19" t="s">
        <x:v>12</x:v>
      </x:c>
      <x:c r="H6" s="19" t="s">
        <x:v>13</x:v>
      </x:c>
      <x:c r="I6" s="19" t="s">
        <x:v>14</x:v>
      </x:c>
      <x:c r="J6" s="19"/>
      <x:c r="K6" s="22">
        <x:v>46272</x:v>
      </x:c>
      <x:c r="L6" s="22">
        <x:v>46279</x:v>
      </x:c>
      <x:c r="M6" s="22">
        <x:v>46286</x:v>
      </x:c>
      <x:c r="N6" s="22">
        <x:v>46293</x:v>
      </x:c>
      <x:c r="O6" s="22">
        <x:v>46300</x:v>
      </x:c>
      <x:c r="P6" s="22">
        <x:v>46307</x:v>
      </x:c>
      <x:c r="Q6" s="22">
        <x:v>46314</x:v>
      </x:c>
      <x:c r="R6" s="22">
        <x:v>46321</x:v>
      </x:c>
      <x:c r="S6" s="22">
        <x:v>46328</x:v>
      </x:c>
      <x:c r="T6" s="22">
        <x:v>46335</x:v>
      </x:c>
      <x:c r="U6" s="22">
        <x:v>46342</x:v>
      </x:c>
      <x:c r="V6" s="22">
        <x:v>46349</x:v>
      </x:c>
    </x:row>
    <x:row r="7">
      <x:c r="A7" s="35">
        <x:v>1</x:v>
      </x:c>
      <x:c r="B7" s="36" t="s">
        <x:v>15</x:v>
      </x:c>
      <x:c r="C7" s="36" t="s">
        <x:v>16</x:v>
      </x:c>
      <x:c r="D7" s="36" t="s">
        <x:v>17</x:v>
      </x:c>
      <x:c r="E7" s="37">
        <x:v>46293</x:v>
      </x:c>
      <x:c r="F7" s="37">
        <x:v>46305</x:v>
      </x:c>
      <x:c r="G7" s="38">
        <x:f>F7-E7+1</x:f>
      </x:c>
      <x:c r="H7" s="39">
        <x:v>1</x:v>
      </x:c>
      <x:c r="I7" s="38">
        <x:f>IF(H7&gt;=1,"Done",IF(E7&gt;$B$3,"Not started",IF(F7&lt;$B$3,"Late","In progress")))</x:f>
      </x:c>
      <x:c r="J7"/>
      <x:c r="K7" s="41">
        <x:f>IF(AND(K$6&lt;=$F7,K$6+6&gt;=$E7),"■","")</x:f>
      </x:c>
      <x:c r="L7" s="41">
        <x:f>IF(AND(L$6&lt;=$F7,L$6+6&gt;=$E7),"■","")</x:f>
      </x:c>
      <x:c r="M7" s="41">
        <x:f>IF(AND(M$6&lt;=$F7,M$6+6&gt;=$E7),"■","")</x:f>
      </x:c>
      <x:c r="N7" s="41">
        <x:f>IF(AND(N$6&lt;=$F7,N$6+6&gt;=$E7),"■","")</x:f>
      </x:c>
      <x:c r="O7" s="41">
        <x:f>IF(AND(O$6&lt;=$F7,O$6+6&gt;=$E7),"■","")</x:f>
      </x:c>
      <x:c r="P7" s="41">
        <x:f>IF(AND(P$6&lt;=$F7,P$6+6&gt;=$E7),"■","")</x:f>
      </x:c>
      <x:c r="Q7" s="41">
        <x:f>IF(AND(Q$6&lt;=$F7,Q$6+6&gt;=$E7),"■","")</x:f>
      </x:c>
      <x:c r="R7" s="41">
        <x:f>IF(AND(R$6&lt;=$F7,R$6+6&gt;=$E7),"■","")</x:f>
      </x:c>
      <x:c r="S7" s="41">
        <x:f>IF(AND(S$6&lt;=$F7,S$6+6&gt;=$E7),"■","")</x:f>
      </x:c>
      <x:c r="T7" s="41">
        <x:f>IF(AND(T$6&lt;=$F7,T$6+6&gt;=$E7),"■","")</x:f>
      </x:c>
      <x:c r="U7" s="41">
        <x:f>IF(AND(U$6&lt;=$F7,U$6+6&gt;=$E7),"■","")</x:f>
      </x:c>
      <x:c r="V7" s="41">
        <x:f>IF(AND(V$6&lt;=$F7,V$6+6&gt;=$E7),"■","")</x:f>
      </x:c>
    </x:row>
    <x:row r="8">
      <x:c r="A8" s="35">
        <x:v>2</x:v>
      </x:c>
      <x:c r="B8" s="36" t="s">
        <x:v>18</x:v>
      </x:c>
      <x:c r="C8" s="36" t="s">
        <x:v>19</x:v>
      </x:c>
      <x:c r="D8" s="36" t="s">
        <x:v>20</x:v>
      </x:c>
      <x:c r="E8" s="37">
        <x:v>46300</x:v>
      </x:c>
      <x:c r="F8" s="37">
        <x:v>46307</x:v>
      </x:c>
      <x:c r="G8" s="38">
        <x:f>F8-E8+1</x:f>
      </x:c>
      <x:c r="H8" s="39">
        <x:v>1</x:v>
      </x:c>
      <x:c r="I8" s="38">
        <x:f>IF(H8&gt;=1,"Done",IF(E8&gt;$B$3,"Not started",IF(F8&lt;$B$3,"Late","In progress")))</x:f>
      </x:c>
      <x:c r="J8"/>
      <x:c r="K8" s="41">
        <x:f>IF(AND(K$6&lt;=$F8,K$6+6&gt;=$E8),"■","")</x:f>
      </x:c>
      <x:c r="L8" s="41">
        <x:f>IF(AND(L$6&lt;=$F8,L$6+6&gt;=$E8),"■","")</x:f>
      </x:c>
      <x:c r="M8" s="41">
        <x:f>IF(AND(M$6&lt;=$F8,M$6+6&gt;=$E8),"■","")</x:f>
      </x:c>
      <x:c r="N8" s="41">
        <x:f>IF(AND(N$6&lt;=$F8,N$6+6&gt;=$E8),"■","")</x:f>
      </x:c>
      <x:c r="O8" s="41">
        <x:f>IF(AND(O$6&lt;=$F8,O$6+6&gt;=$E8),"■","")</x:f>
      </x:c>
      <x:c r="P8" s="41">
        <x:f>IF(AND(P$6&lt;=$F8,P$6+6&gt;=$E8),"■","")</x:f>
      </x:c>
      <x:c r="Q8" s="41">
        <x:f>IF(AND(Q$6&lt;=$F8,Q$6+6&gt;=$E8),"■","")</x:f>
      </x:c>
      <x:c r="R8" s="41">
        <x:f>IF(AND(R$6&lt;=$F8,R$6+6&gt;=$E8),"■","")</x:f>
      </x:c>
      <x:c r="S8" s="41">
        <x:f>IF(AND(S$6&lt;=$F8,S$6+6&gt;=$E8),"■","")</x:f>
      </x:c>
      <x:c r="T8" s="41">
        <x:f>IF(AND(T$6&lt;=$F8,T$6+6&gt;=$E8),"■","")</x:f>
      </x:c>
      <x:c r="U8" s="41">
        <x:f>IF(AND(U$6&lt;=$F8,U$6+6&gt;=$E8),"■","")</x:f>
      </x:c>
      <x:c r="V8" s="41">
        <x:f>IF(AND(V$6&lt;=$F8,V$6+6&gt;=$E8),"■","")</x:f>
      </x:c>
    </x:row>
    <x:row r="9">
      <x:c r="A9" s="35">
        <x:v>3</x:v>
      </x:c>
      <x:c r="B9" s="36" t="s">
        <x:v>21</x:v>
      </x:c>
      <x:c r="C9" s="36" t="s">
        <x:v>22</x:v>
      </x:c>
      <x:c r="D9" s="36" t="s">
        <x:v>23</x:v>
      </x:c>
      <x:c r="E9" s="37">
        <x:v>46306</x:v>
      </x:c>
      <x:c r="F9" s="37">
        <x:v>46315</x:v>
      </x:c>
      <x:c r="G9" s="38">
        <x:f>F9-E9+1</x:f>
      </x:c>
      <x:c r="H9" s="39">
        <x:v>0.8</x:v>
      </x:c>
      <x:c r="I9" s="38">
        <x:f>IF(H9&gt;=1,"Done",IF(E9&gt;$B$3,"Not started",IF(F9&lt;$B$3,"Late","In progress")))</x:f>
      </x:c>
      <x:c r="J9"/>
      <x:c r="K9" s="41">
        <x:f>IF(AND(K$6&lt;=$F9,K$6+6&gt;=$E9),"■","")</x:f>
      </x:c>
      <x:c r="L9" s="41">
        <x:f>IF(AND(L$6&lt;=$F9,L$6+6&gt;=$E9),"■","")</x:f>
      </x:c>
      <x:c r="M9" s="41">
        <x:f>IF(AND(M$6&lt;=$F9,M$6+6&gt;=$E9),"■","")</x:f>
      </x:c>
      <x:c r="N9" s="41">
        <x:f>IF(AND(N$6&lt;=$F9,N$6+6&gt;=$E9),"■","")</x:f>
      </x:c>
      <x:c r="O9" s="41">
        <x:f>IF(AND(O$6&lt;=$F9,O$6+6&gt;=$E9),"■","")</x:f>
      </x:c>
      <x:c r="P9" s="41">
        <x:f>IF(AND(P$6&lt;=$F9,P$6+6&gt;=$E9),"■","")</x:f>
      </x:c>
      <x:c r="Q9" s="41">
        <x:f>IF(AND(Q$6&lt;=$F9,Q$6+6&gt;=$E9),"■","")</x:f>
      </x:c>
      <x:c r="R9" s="41">
        <x:f>IF(AND(R$6&lt;=$F9,R$6+6&gt;=$E9),"■","")</x:f>
      </x:c>
      <x:c r="S9" s="41">
        <x:f>IF(AND(S$6&lt;=$F9,S$6+6&gt;=$E9),"■","")</x:f>
      </x:c>
      <x:c r="T9" s="41">
        <x:f>IF(AND(T$6&lt;=$F9,T$6+6&gt;=$E9),"■","")</x:f>
      </x:c>
      <x:c r="U9" s="41">
        <x:f>IF(AND(U$6&lt;=$F9,U$6+6&gt;=$E9),"■","")</x:f>
      </x:c>
      <x:c r="V9" s="41">
        <x:f>IF(AND(V$6&lt;=$F9,V$6+6&gt;=$E9),"■","")</x:f>
      </x:c>
    </x:row>
    <x:row r="10">
      <x:c r="A10" s="35">
        <x:v>4</x:v>
      </x:c>
      <x:c r="B10" s="36" t="s">
        <x:v>24</x:v>
      </x:c>
      <x:c r="C10" s="36" t="s">
        <x:v>25</x:v>
      </x:c>
      <x:c r="D10" s="36" t="s">
        <x:v>26</x:v>
      </x:c>
      <x:c r="E10" s="37">
        <x:v>46308</x:v>
      </x:c>
      <x:c r="F10" s="37">
        <x:v>46326</x:v>
      </x:c>
      <x:c r="G10" s="38">
        <x:f>F10-E10+1</x:f>
      </x:c>
      <x:c r="H10" s="39">
        <x:v>0.45</x:v>
      </x:c>
      <x:c r="I10" s="38">
        <x:f>IF(H10&gt;=1,"Done",IF(E10&gt;$B$3,"Not started",IF(F10&lt;$B$3,"Late","In progress")))</x:f>
      </x:c>
      <x:c r="J10"/>
      <x:c r="K10" s="41">
        <x:f>IF(AND(K$6&lt;=$F10,K$6+6&gt;=$E10),"■","")</x:f>
      </x:c>
      <x:c r="L10" s="41">
        <x:f>IF(AND(L$6&lt;=$F10,L$6+6&gt;=$E10),"■","")</x:f>
      </x:c>
      <x:c r="M10" s="41">
        <x:f>IF(AND(M$6&lt;=$F10,M$6+6&gt;=$E10),"■","")</x:f>
      </x:c>
      <x:c r="N10" s="41">
        <x:f>IF(AND(N$6&lt;=$F10,N$6+6&gt;=$E10),"■","")</x:f>
      </x:c>
      <x:c r="O10" s="41">
        <x:f>IF(AND(O$6&lt;=$F10,O$6+6&gt;=$E10),"■","")</x:f>
      </x:c>
      <x:c r="P10" s="41">
        <x:f>IF(AND(P$6&lt;=$F10,P$6+6&gt;=$E10),"■","")</x:f>
      </x:c>
      <x:c r="Q10" s="41">
        <x:f>IF(AND(Q$6&lt;=$F10,Q$6+6&gt;=$E10),"■","")</x:f>
      </x:c>
      <x:c r="R10" s="41">
        <x:f>IF(AND(R$6&lt;=$F10,R$6+6&gt;=$E10),"■","")</x:f>
      </x:c>
      <x:c r="S10" s="41">
        <x:f>IF(AND(S$6&lt;=$F10,S$6+6&gt;=$E10),"■","")</x:f>
      </x:c>
      <x:c r="T10" s="41">
        <x:f>IF(AND(T$6&lt;=$F10,T$6+6&gt;=$E10),"■","")</x:f>
      </x:c>
      <x:c r="U10" s="41">
        <x:f>IF(AND(U$6&lt;=$F10,U$6+6&gt;=$E10),"■","")</x:f>
      </x:c>
      <x:c r="V10" s="41">
        <x:f>IF(AND(V$6&lt;=$F10,V$6+6&gt;=$E10),"■","")</x:f>
      </x:c>
    </x:row>
    <x:row r="11">
      <x:c r="A11" s="35">
        <x:v>5</x:v>
      </x:c>
      <x:c r="B11" s="36" t="s">
        <x:v>27</x:v>
      </x:c>
      <x:c r="C11" s="36" t="s">
        <x:v>28</x:v>
      </x:c>
      <x:c r="D11" s="36" t="s">
        <x:v>29</x:v>
      </x:c>
      <x:c r="E11" s="37">
        <x:v>46303</x:v>
      </x:c>
      <x:c r="F11" s="37">
        <x:v>46309</x:v>
      </x:c>
      <x:c r="G11" s="38">
        <x:f>F11-E11+1</x:f>
      </x:c>
      <x:c r="H11" s="39">
        <x:v>0.6</x:v>
      </x:c>
      <x:c r="I11" s="38">
        <x:f>IF(H11&gt;=1,"Done",IF(E11&gt;$B$3,"Not started",IF(F11&lt;$B$3,"Late","In progress")))</x:f>
      </x:c>
      <x:c r="J11"/>
      <x:c r="K11" s="41">
        <x:f>IF(AND(K$6&lt;=$F11,K$6+6&gt;=$E11),"■","")</x:f>
      </x:c>
      <x:c r="L11" s="41">
        <x:f>IF(AND(L$6&lt;=$F11,L$6+6&gt;=$E11),"■","")</x:f>
      </x:c>
      <x:c r="M11" s="41">
        <x:f>IF(AND(M$6&lt;=$F11,M$6+6&gt;=$E11),"■","")</x:f>
      </x:c>
      <x:c r="N11" s="41">
        <x:f>IF(AND(N$6&lt;=$F11,N$6+6&gt;=$E11),"■","")</x:f>
      </x:c>
      <x:c r="O11" s="41">
        <x:f>IF(AND(O$6&lt;=$F11,O$6+6&gt;=$E11),"■","")</x:f>
      </x:c>
      <x:c r="P11" s="41">
        <x:f>IF(AND(P$6&lt;=$F11,P$6+6&gt;=$E11),"■","")</x:f>
      </x:c>
      <x:c r="Q11" s="41">
        <x:f>IF(AND(Q$6&lt;=$F11,Q$6+6&gt;=$E11),"■","")</x:f>
      </x:c>
      <x:c r="R11" s="41">
        <x:f>IF(AND(R$6&lt;=$F11,R$6+6&gt;=$E11),"■","")</x:f>
      </x:c>
      <x:c r="S11" s="41">
        <x:f>IF(AND(S$6&lt;=$F11,S$6+6&gt;=$E11),"■","")</x:f>
      </x:c>
      <x:c r="T11" s="41">
        <x:f>IF(AND(T$6&lt;=$F11,T$6+6&gt;=$E11),"■","")</x:f>
      </x:c>
      <x:c r="U11" s="41">
        <x:f>IF(AND(U$6&lt;=$F11,U$6+6&gt;=$E11),"■","")</x:f>
      </x:c>
      <x:c r="V11" s="41">
        <x:f>IF(AND(V$6&lt;=$F11,V$6+6&gt;=$E11),"■","")</x:f>
      </x:c>
    </x:row>
    <x:row r="12">
      <x:c r="A12" s="35">
        <x:v>6</x:v>
      </x:c>
      <x:c r="B12" s="36" t="s">
        <x:v>30</x:v>
      </x:c>
      <x:c r="C12" s="36" t="s">
        <x:v>31</x:v>
      </x:c>
      <x:c r="D12" s="36" t="s">
        <x:v>32</x:v>
      </x:c>
      <x:c r="E12" s="37">
        <x:v>46315</x:v>
      </x:c>
      <x:c r="F12" s="37">
        <x:v>46338</x:v>
      </x:c>
      <x:c r="G12" s="38">
        <x:f>F12-E12+1</x:f>
      </x:c>
      <x:c r="H12" s="39">
        <x:v>0.2</x:v>
      </x:c>
      <x:c r="I12" s="38">
        <x:f>IF(H12&gt;=1,"Done",IF(E12&gt;$B$3,"Not started",IF(F12&lt;$B$3,"Late","In progress")))</x:f>
      </x:c>
      <x:c r="J12"/>
      <x:c r="K12" s="41">
        <x:f>IF(AND(K$6&lt;=$F12,K$6+6&gt;=$E12),"■","")</x:f>
      </x:c>
      <x:c r="L12" s="41">
        <x:f>IF(AND(L$6&lt;=$F12,L$6+6&gt;=$E12),"■","")</x:f>
      </x:c>
      <x:c r="M12" s="41">
        <x:f>IF(AND(M$6&lt;=$F12,M$6+6&gt;=$E12),"■","")</x:f>
      </x:c>
      <x:c r="N12" s="41">
        <x:f>IF(AND(N$6&lt;=$F12,N$6+6&gt;=$E12),"■","")</x:f>
      </x:c>
      <x:c r="O12" s="41">
        <x:f>IF(AND(O$6&lt;=$F12,O$6+6&gt;=$E12),"■","")</x:f>
      </x:c>
      <x:c r="P12" s="41">
        <x:f>IF(AND(P$6&lt;=$F12,P$6+6&gt;=$E12),"■","")</x:f>
      </x:c>
      <x:c r="Q12" s="41">
        <x:f>IF(AND(Q$6&lt;=$F12,Q$6+6&gt;=$E12),"■","")</x:f>
      </x:c>
      <x:c r="R12" s="41">
        <x:f>IF(AND(R$6&lt;=$F12,R$6+6&gt;=$E12),"■","")</x:f>
      </x:c>
      <x:c r="S12" s="41">
        <x:f>IF(AND(S$6&lt;=$F12,S$6+6&gt;=$E12),"■","")</x:f>
      </x:c>
      <x:c r="T12" s="41">
        <x:f>IF(AND(T$6&lt;=$F12,T$6+6&gt;=$E12),"■","")</x:f>
      </x:c>
      <x:c r="U12" s="41">
        <x:f>IF(AND(U$6&lt;=$F12,U$6+6&gt;=$E12),"■","")</x:f>
      </x:c>
      <x:c r="V12" s="41">
        <x:f>IF(AND(V$6&lt;=$F12,V$6+6&gt;=$E12),"■","")</x:f>
      </x:c>
    </x:row>
    <x:row r="13">
      <x:c r="A13" s="35">
        <x:v>7</x:v>
      </x:c>
      <x:c r="B13" s="36" t="s">
        <x:v>33</x:v>
      </x:c>
      <x:c r="C13" s="36" t="s">
        <x:v>34</x:v>
      </x:c>
      <x:c r="D13" s="36" t="s">
        <x:v>35</x:v>
      </x:c>
      <x:c r="E13" s="37">
        <x:v>46322</x:v>
      </x:c>
      <x:c r="F13" s="37">
        <x:v>46334</x:v>
      </x:c>
      <x:c r="G13" s="38">
        <x:f>F13-E13+1</x:f>
      </x:c>
      <x:c r="H13" s="39">
        <x:v>0.1</x:v>
      </x:c>
      <x:c r="I13" s="38">
        <x:f>IF(H13&gt;=1,"Done",IF(E13&gt;$B$3,"Not started",IF(F13&lt;$B$3,"Late","In progress")))</x:f>
      </x:c>
      <x:c r="J13"/>
      <x:c r="K13" s="41">
        <x:f>IF(AND(K$6&lt;=$F13,K$6+6&gt;=$E13),"■","")</x:f>
      </x:c>
      <x:c r="L13" s="41">
        <x:f>IF(AND(L$6&lt;=$F13,L$6+6&gt;=$E13),"■","")</x:f>
      </x:c>
      <x:c r="M13" s="41">
        <x:f>IF(AND(M$6&lt;=$F13,M$6+6&gt;=$E13),"■","")</x:f>
      </x:c>
      <x:c r="N13" s="41">
        <x:f>IF(AND(N$6&lt;=$F13,N$6+6&gt;=$E13),"■","")</x:f>
      </x:c>
      <x:c r="O13" s="41">
        <x:f>IF(AND(O$6&lt;=$F13,O$6+6&gt;=$E13),"■","")</x:f>
      </x:c>
      <x:c r="P13" s="41">
        <x:f>IF(AND(P$6&lt;=$F13,P$6+6&gt;=$E13),"■","")</x:f>
      </x:c>
      <x:c r="Q13" s="41">
        <x:f>IF(AND(Q$6&lt;=$F13,Q$6+6&gt;=$E13),"■","")</x:f>
      </x:c>
      <x:c r="R13" s="41">
        <x:f>IF(AND(R$6&lt;=$F13,R$6+6&gt;=$E13),"■","")</x:f>
      </x:c>
      <x:c r="S13" s="41">
        <x:f>IF(AND(S$6&lt;=$F13,S$6+6&gt;=$E13),"■","")</x:f>
      </x:c>
      <x:c r="T13" s="41">
        <x:f>IF(AND(T$6&lt;=$F13,T$6+6&gt;=$E13),"■","")</x:f>
      </x:c>
      <x:c r="U13" s="41">
        <x:f>IF(AND(U$6&lt;=$F13,U$6+6&gt;=$E13),"■","")</x:f>
      </x:c>
      <x:c r="V13" s="41">
        <x:f>IF(AND(V$6&lt;=$F13,V$6+6&gt;=$E13),"■","")</x:f>
      </x:c>
    </x:row>
    <x:row r="14">
      <x:c r="A14" s="35">
        <x:v>8</x:v>
      </x:c>
      <x:c r="B14" s="36" t="s">
        <x:v>36</x:v>
      </x:c>
      <x:c r="C14" s="36" t="s">
        <x:v>37</x:v>
      </x:c>
      <x:c r="D14" s="36" t="s">
        <x:v>38</x:v>
      </x:c>
      <x:c r="E14" s="37">
        <x:v>46327</x:v>
      </x:c>
      <x:c r="F14" s="37">
        <x:v>46341</x:v>
      </x:c>
      <x:c r="G14" s="38">
        <x:f>F14-E14+1</x:f>
      </x:c>
      <x:c r="H14" s="39">
        <x:v>0</x:v>
      </x:c>
      <x:c r="I14" s="38">
        <x:f>IF(H14&gt;=1,"Done",IF(E14&gt;$B$3,"Not started",IF(F14&lt;$B$3,"Late","In progress")))</x:f>
      </x:c>
      <x:c r="J14"/>
      <x:c r="K14" s="41">
        <x:f>IF(AND(K$6&lt;=$F14,K$6+6&gt;=$E14),"■","")</x:f>
      </x:c>
      <x:c r="L14" s="41">
        <x:f>IF(AND(L$6&lt;=$F14,L$6+6&gt;=$E14),"■","")</x:f>
      </x:c>
      <x:c r="M14" s="41">
        <x:f>IF(AND(M$6&lt;=$F14,M$6+6&gt;=$E14),"■","")</x:f>
      </x:c>
      <x:c r="N14" s="41">
        <x:f>IF(AND(N$6&lt;=$F14,N$6+6&gt;=$E14),"■","")</x:f>
      </x:c>
      <x:c r="O14" s="41">
        <x:f>IF(AND(O$6&lt;=$F14,O$6+6&gt;=$E14),"■","")</x:f>
      </x:c>
      <x:c r="P14" s="41">
        <x:f>IF(AND(P$6&lt;=$F14,P$6+6&gt;=$E14),"■","")</x:f>
      </x:c>
      <x:c r="Q14" s="41">
        <x:f>IF(AND(Q$6&lt;=$F14,Q$6+6&gt;=$E14),"■","")</x:f>
      </x:c>
      <x:c r="R14" s="41">
        <x:f>IF(AND(R$6&lt;=$F14,R$6+6&gt;=$E14),"■","")</x:f>
      </x:c>
      <x:c r="S14" s="41">
        <x:f>IF(AND(S$6&lt;=$F14,S$6+6&gt;=$E14),"■","")</x:f>
      </x:c>
      <x:c r="T14" s="41">
        <x:f>IF(AND(T$6&lt;=$F14,T$6+6&gt;=$E14),"■","")</x:f>
      </x:c>
      <x:c r="U14" s="41">
        <x:f>IF(AND(U$6&lt;=$F14,U$6+6&gt;=$E14),"■","")</x:f>
      </x:c>
      <x:c r="V14" s="41">
        <x:f>IF(AND(V$6&lt;=$F14,V$6+6&gt;=$E14),"■","")</x:f>
      </x:c>
    </x:row>
    <x:row r="15">
      <x:c r="A15" s="35">
        <x:v>9</x:v>
      </x:c>
      <x:c r="B15" s="36" t="s">
        <x:v>39</x:v>
      </x:c>
      <x:c r="C15" s="36" t="s">
        <x:v>40</x:v>
      </x:c>
      <x:c r="D15" s="36" t="s">
        <x:v>41</x:v>
      </x:c>
      <x:c r="E15" s="37">
        <x:v>46336</x:v>
      </x:c>
      <x:c r="F15" s="37">
        <x:v>46348</x:v>
      </x:c>
      <x:c r="G15" s="38">
        <x:f>F15-E15+1</x:f>
      </x:c>
      <x:c r="H15" s="39">
        <x:v>0</x:v>
      </x:c>
      <x:c r="I15" s="38">
        <x:f>IF(H15&gt;=1,"Done",IF(E15&gt;$B$3,"Not started",IF(F15&lt;$B$3,"Late","In progress")))</x:f>
      </x:c>
      <x:c r="J15"/>
      <x:c r="K15" s="41">
        <x:f>IF(AND(K$6&lt;=$F15,K$6+6&gt;=$E15),"■","")</x:f>
      </x:c>
      <x:c r="L15" s="41">
        <x:f>IF(AND(L$6&lt;=$F15,L$6+6&gt;=$E15),"■","")</x:f>
      </x:c>
      <x:c r="M15" s="41">
        <x:f>IF(AND(M$6&lt;=$F15,M$6+6&gt;=$E15),"■","")</x:f>
      </x:c>
      <x:c r="N15" s="41">
        <x:f>IF(AND(N$6&lt;=$F15,N$6+6&gt;=$E15),"■","")</x:f>
      </x:c>
      <x:c r="O15" s="41">
        <x:f>IF(AND(O$6&lt;=$F15,O$6+6&gt;=$E15),"■","")</x:f>
      </x:c>
      <x:c r="P15" s="41">
        <x:f>IF(AND(P$6&lt;=$F15,P$6+6&gt;=$E15),"■","")</x:f>
      </x:c>
      <x:c r="Q15" s="41">
        <x:f>IF(AND(Q$6&lt;=$F15,Q$6+6&gt;=$E15),"■","")</x:f>
      </x:c>
      <x:c r="R15" s="41">
        <x:f>IF(AND(R$6&lt;=$F15,R$6+6&gt;=$E15),"■","")</x:f>
      </x:c>
      <x:c r="S15" s="41">
        <x:f>IF(AND(S$6&lt;=$F15,S$6+6&gt;=$E15),"■","")</x:f>
      </x:c>
      <x:c r="T15" s="41">
        <x:f>IF(AND(T$6&lt;=$F15,T$6+6&gt;=$E15),"■","")</x:f>
      </x:c>
      <x:c r="U15" s="41">
        <x:f>IF(AND(U$6&lt;=$F15,U$6+6&gt;=$E15),"■","")</x:f>
      </x:c>
      <x:c r="V15" s="41">
        <x:f>IF(AND(V$6&lt;=$F15,V$6+6&gt;=$E15),"■","")</x:f>
      </x:c>
    </x:row>
    <x:row r="16">
      <x:c r="A16" s="35">
        <x:v>10</x:v>
      </x:c>
      <x:c r="B16" s="36" t="s">
        <x:v>42</x:v>
      </x:c>
      <x:c r="C16" s="36" t="s">
        <x:v>43</x:v>
      </x:c>
      <x:c r="D16" s="36" t="s">
        <x:v>44</x:v>
      </x:c>
      <x:c r="E16" s="37">
        <x:v>46342</x:v>
      </x:c>
      <x:c r="F16" s="37">
        <x:v>46351</x:v>
      </x:c>
      <x:c r="G16" s="38">
        <x:f>F16-E16+1</x:f>
      </x:c>
      <x:c r="H16" s="39">
        <x:v>0</x:v>
      </x:c>
      <x:c r="I16" s="38">
        <x:f>IF(H16&gt;=1,"Done",IF(E16&gt;$B$3,"Not started",IF(F16&lt;$B$3,"Late","In progress")))</x:f>
      </x:c>
      <x:c r="J16"/>
      <x:c r="K16" s="41">
        <x:f>IF(AND(K$6&lt;=$F16,K$6+6&gt;=$E16),"■","")</x:f>
      </x:c>
      <x:c r="L16" s="41">
        <x:f>IF(AND(L$6&lt;=$F16,L$6+6&gt;=$E16),"■","")</x:f>
      </x:c>
      <x:c r="M16" s="41">
        <x:f>IF(AND(M$6&lt;=$F16,M$6+6&gt;=$E16),"■","")</x:f>
      </x:c>
      <x:c r="N16" s="41">
        <x:f>IF(AND(N$6&lt;=$F16,N$6+6&gt;=$E16),"■","")</x:f>
      </x:c>
      <x:c r="O16" s="41">
        <x:f>IF(AND(O$6&lt;=$F16,O$6+6&gt;=$E16),"■","")</x:f>
      </x:c>
      <x:c r="P16" s="41">
        <x:f>IF(AND(P$6&lt;=$F16,P$6+6&gt;=$E16),"■","")</x:f>
      </x:c>
      <x:c r="Q16" s="41">
        <x:f>IF(AND(Q$6&lt;=$F16,Q$6+6&gt;=$E16),"■","")</x:f>
      </x:c>
      <x:c r="R16" s="41">
        <x:f>IF(AND(R$6&lt;=$F16,R$6+6&gt;=$E16),"■","")</x:f>
      </x:c>
      <x:c r="S16" s="41">
        <x:f>IF(AND(S$6&lt;=$F16,S$6+6&gt;=$E16),"■","")</x:f>
      </x:c>
      <x:c r="T16" s="41">
        <x:f>IF(AND(T$6&lt;=$F16,T$6+6&gt;=$E16),"■","")</x:f>
      </x:c>
      <x:c r="U16" s="41">
        <x:f>IF(AND(U$6&lt;=$F16,U$6+6&gt;=$E16),"■","")</x:f>
      </x:c>
      <x:c r="V16" s="41">
        <x:f>IF(AND(V$6&lt;=$F16,V$6+6&gt;=$E16),"■","")</x:f>
      </x:c>
    </x:row>
    <x:row r="17">
      <x:c r="A17" s="35">
        <x:v>11</x:v>
      </x:c>
      <x:c r="B17" s="36" t="s">
        <x:v>45</x:v>
      </x:c>
      <x:c r="C17" s="36" t="s">
        <x:v>46</x:v>
      </x:c>
      <x:c r="D17" s="36" t="s">
        <x:v>47</x:v>
      </x:c>
      <x:c r="E17" s="37">
        <x:v>46349</x:v>
      </x:c>
      <x:c r="F17" s="37">
        <x:v>46354</x:v>
      </x:c>
      <x:c r="G17" s="38">
        <x:f>F17-E17+1</x:f>
      </x:c>
      <x:c r="H17" s="39">
        <x:v>0</x:v>
      </x:c>
      <x:c r="I17" s="38">
        <x:f>IF(H17&gt;=1,"Done",IF(E17&gt;$B$3,"Not started",IF(F17&lt;$B$3,"Late","In progress")))</x:f>
      </x:c>
      <x:c r="J17"/>
      <x:c r="K17" s="41">
        <x:f>IF(AND(K$6&lt;=$F17,K$6+6&gt;=$E17),"■","")</x:f>
      </x:c>
      <x:c r="L17" s="41">
        <x:f>IF(AND(L$6&lt;=$F17,L$6+6&gt;=$E17),"■","")</x:f>
      </x:c>
      <x:c r="M17" s="41">
        <x:f>IF(AND(M$6&lt;=$F17,M$6+6&gt;=$E17),"■","")</x:f>
      </x:c>
      <x:c r="N17" s="41">
        <x:f>IF(AND(N$6&lt;=$F17,N$6+6&gt;=$E17),"■","")</x:f>
      </x:c>
      <x:c r="O17" s="41">
        <x:f>IF(AND(O$6&lt;=$F17,O$6+6&gt;=$E17),"■","")</x:f>
      </x:c>
      <x:c r="P17" s="41">
        <x:f>IF(AND(P$6&lt;=$F17,P$6+6&gt;=$E17),"■","")</x:f>
      </x:c>
      <x:c r="Q17" s="41">
        <x:f>IF(AND(Q$6&lt;=$F17,Q$6+6&gt;=$E17),"■","")</x:f>
      </x:c>
      <x:c r="R17" s="41">
        <x:f>IF(AND(R$6&lt;=$F17,R$6+6&gt;=$E17),"■","")</x:f>
      </x:c>
      <x:c r="S17" s="41">
        <x:f>IF(AND(S$6&lt;=$F17,S$6+6&gt;=$E17),"■","")</x:f>
      </x:c>
      <x:c r="T17" s="41">
        <x:f>IF(AND(T$6&lt;=$F17,T$6+6&gt;=$E17),"■","")</x:f>
      </x:c>
      <x:c r="U17" s="41">
        <x:f>IF(AND(U$6&lt;=$F17,U$6+6&gt;=$E17),"■","")</x:f>
      </x:c>
      <x:c r="V17" s="41">
        <x:f>IF(AND(V$6&lt;=$F17,V$6+6&gt;=$E17),"■","")</x:f>
      </x:c>
    </x:row>
    <x:row r="18">
      <x:c r="A18" s="35">
        <x:v>12</x:v>
      </x:c>
      <x:c r="B18" s="36" t="s">
        <x:v>48</x:v>
      </x:c>
      <x:c r="C18" s="36" t="s">
        <x:v>49</x:v>
      </x:c>
      <x:c r="D18" s="36" t="s">
        <x:v>50</x:v>
      </x:c>
      <x:c r="E18" s="37">
        <x:v>46356</x:v>
      </x:c>
      <x:c r="F18" s="37">
        <x:v>46356</x:v>
      </x:c>
      <x:c r="G18" s="38">
        <x:f>F18-E18+1</x:f>
      </x:c>
      <x:c r="H18" s="39">
        <x:v>0</x:v>
      </x:c>
      <x:c r="I18" s="38">
        <x:f>IF(H18&gt;=1,"Done",IF(E18&gt;$B$3,"Not started",IF(F18&lt;$B$3,"Late","In progress")))</x:f>
      </x:c>
      <x:c r="J18"/>
      <x:c r="K18" s="41">
        <x:f>IF(AND(K$6&lt;=$F18,K$6+6&gt;=$E18),"■","")</x:f>
      </x:c>
      <x:c r="L18" s="41">
        <x:f>IF(AND(L$6&lt;=$F18,L$6+6&gt;=$E18),"■","")</x:f>
      </x:c>
      <x:c r="M18" s="41">
        <x:f>IF(AND(M$6&lt;=$F18,M$6+6&gt;=$E18),"■","")</x:f>
      </x:c>
      <x:c r="N18" s="41">
        <x:f>IF(AND(N$6&lt;=$F18,N$6+6&gt;=$E18),"■","")</x:f>
      </x:c>
      <x:c r="O18" s="41">
        <x:f>IF(AND(O$6&lt;=$F18,O$6+6&gt;=$E18),"■","")</x:f>
      </x:c>
      <x:c r="P18" s="41">
        <x:f>IF(AND(P$6&lt;=$F18,P$6+6&gt;=$E18),"■","")</x:f>
      </x:c>
      <x:c r="Q18" s="41">
        <x:f>IF(AND(Q$6&lt;=$F18,Q$6+6&gt;=$E18),"■","")</x:f>
      </x:c>
      <x:c r="R18" s="41">
        <x:f>IF(AND(R$6&lt;=$F18,R$6+6&gt;=$E18),"■","")</x:f>
      </x:c>
      <x:c r="S18" s="41">
        <x:f>IF(AND(S$6&lt;=$F18,S$6+6&gt;=$E18),"■","")</x:f>
      </x:c>
      <x:c r="T18" s="41">
        <x:f>IF(AND(T$6&lt;=$F18,T$6+6&gt;=$E18),"■","")</x:f>
      </x:c>
      <x:c r="U18" s="41">
        <x:f>IF(AND(U$6&lt;=$F18,U$6+6&gt;=$E18),"■","")</x:f>
      </x:c>
      <x:c r="V18" s="41">
        <x:f>IF(AND(V$6&lt;=$F18,V$6+6&gt;=$E18),"■","")</x:f>
      </x:c>
    </x:row>
  </x:sheetData>
  <x:mergeCells count="9">
    <x:mergeCell ref="A1:V1"/>
    <x:mergeCell ref="D3:E3"/>
    <x:mergeCell ref="D4:E4"/>
    <x:mergeCell ref="F3:G3"/>
    <x:mergeCell ref="F4:G4"/>
    <x:mergeCell ref="H3:I3"/>
    <x:mergeCell ref="H4:I4"/>
    <x:mergeCell ref="J3:K3"/>
    <x:mergeCell ref="J4:K4"/>
  </x:mergeCells>
</x:worksheet>
</file>