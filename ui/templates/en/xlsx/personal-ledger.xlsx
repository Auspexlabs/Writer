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af11eb404425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eptember" sheetId="1" r:id="R23cc2d94030b4b23"/>
  </x:sheets>
  <x:calcPr calcId="0" fullCalcOnLoad="1"/>
</x:workbook>
</file>

<file path=xl/sharedStrings.xml><?xml version="1.0" encoding="utf-8"?>
<x:sst xmlns:x="http://schemas.openxmlformats.org/spreadsheetml/2006/main" count="65" uniqueCount="65">
  <x:si>
    <x:t xml:space="preserve">Personal Ledger · September 2026</x:t>
  </x:si>
  <x:si>
    <x:t xml:space="preserve">Income</x:t>
  </x:si>
  <x:si>
    <x:t xml:space="preserve">Spending</x:t>
  </x:si>
  <x:si>
    <x:t xml:space="preserve">Balance</x:t>
  </x:si>
  <x:si>
    <x:t xml:space="preserve">Spent</x:t>
  </x:si>
  <x:si>
    <x:t xml:space="preserve">Date</x:t>
  </x:si>
  <x:si>
    <x:t xml:space="preserve">Category</x:t>
  </x:si>
  <x:si>
    <x:t xml:space="preserve">Description</x:t>
  </x:si>
  <x:si>
    <x:t xml:space="preserve">Account</x:t>
  </x:si>
  <x:si>
    <x:t xml:space="preserve">Income</x:t>
  </x:si>
  <x:si>
    <x:t xml:space="preserve">Spending</x:t>
  </x:si>
  <x:si>
    <x:t xml:space="preserve">Balance</x:t>
  </x:si>
  <x:si>
    <x:t xml:space="preserve">Income</x:t>
  </x:si>
  <x:si>
    <x:t xml:space="preserve">September salary</x:t>
  </x:si>
  <x:si>
    <x:t xml:space="preserve">Bank</x:t>
  </x:si>
  <x:si>
    <x:t xml:space="preserve">Home</x:t>
  </x:si>
  <x:si>
    <x:t xml:space="preserve">Rent</x:t>
  </x:si>
  <x:si>
    <x:t xml:space="preserve">Bank</x:t>
  </x:si>
  <x:si>
    <x:t xml:space="preserve">Food</x:t>
  </x:si>
  <x:si>
    <x:t xml:space="preserve">Groceries</x:t>
  </x:si>
  <x:si>
    <x:t xml:space="preserve">Cash</x:t>
  </x:si>
  <x:si>
    <x:t xml:space="preserve">Transport</x:t>
  </x:si>
  <x:si>
    <x:t xml:space="preserve">Transit card top-up</x:t>
  </x:si>
  <x:si>
    <x:t xml:space="preserve">Card</x:t>
  </x:si>
  <x:si>
    <x:t xml:space="preserve">Food</x:t>
  </x:si>
  <x:si>
    <x:t xml:space="preserve">Dinner with friends</x:t>
  </x:si>
  <x:si>
    <x:t xml:space="preserve">Card</x:t>
  </x:si>
  <x:si>
    <x:t xml:space="preserve">Shopping</x:t>
  </x:si>
  <x:si>
    <x:t xml:space="preserve">Autumn jacket</x:t>
  </x:si>
  <x:si>
    <x:t xml:space="preserve">Cash</x:t>
  </x:si>
  <x:si>
    <x:t xml:space="preserve">Home</x:t>
  </x:si>
  <x:si>
    <x:t xml:space="preserve">Utilities</x:t>
  </x:si>
  <x:si>
    <x:t xml:space="preserve">Bank</x:t>
  </x:si>
  <x:si>
    <x:t xml:space="preserve">Leisure</x:t>
  </x:si>
  <x:si>
    <x:t xml:space="preserve">Cinema and a show</x:t>
  </x:si>
  <x:si>
    <x:t xml:space="preserve">Card</x:t>
  </x:si>
  <x:si>
    <x:t xml:space="preserve">Income</x:t>
  </x:si>
  <x:si>
    <x:t xml:space="preserve">Freelance article</x:t>
  </x:si>
  <x:si>
    <x:t xml:space="preserve">Bank</x:t>
  </x:si>
  <x:si>
    <x:t xml:space="preserve">Health</x:t>
  </x:si>
  <x:si>
    <x:t xml:space="preserve">Health check</x:t>
  </x:si>
  <x:si>
    <x:t xml:space="preserve">Cash</x:t>
  </x:si>
  <x:si>
    <x:t xml:space="preserve">Food</x:t>
  </x:si>
  <x:si>
    <x:t xml:space="preserve">Weekday lunches</x:t>
  </x:si>
  <x:si>
    <x:t xml:space="preserve">Card</x:t>
  </x:si>
  <x:si>
    <x:t xml:space="preserve">Learning</x:t>
  </x:si>
  <x:si>
    <x:t xml:space="preserve">Online course</x:t>
  </x:si>
  <x:si>
    <x:t xml:space="preserve">Cash</x:t>
  </x:si>
  <x:si>
    <x:t xml:space="preserve">Transport</x:t>
  </x:si>
  <x:si>
    <x:t xml:space="preserve">Taxi</x:t>
  </x:si>
  <x:si>
    <x:t xml:space="preserve">Card</x:t>
  </x:si>
  <x:si>
    <x:t xml:space="preserve">Shopping</x:t>
  </x:si>
  <x:si>
    <x:t xml:space="preserve">Household items</x:t>
  </x:si>
  <x:si>
    <x:t xml:space="preserve">Cash</x:t>
  </x:si>
  <x:si>
    <x:t xml:space="preserve">Category</x:t>
  </x:si>
  <x:si>
    <x:t xml:space="preserve">Spending</x:t>
  </x:si>
  <x:si>
    <x:t xml:space="preserve">Share</x:t>
  </x:si>
  <x:si>
    <x:t xml:space="preserve">Home</x:t>
  </x:si>
  <x:si>
    <x:t xml:space="preserve">Food</x:t>
  </x:si>
  <x:si>
    <x:t xml:space="preserve">Transport</x:t>
  </x:si>
  <x:si>
    <x:t xml:space="preserve">Shopping</x:t>
  </x:si>
  <x:si>
    <x:t xml:space="preserve">Leisure</x:t>
  </x:si>
  <x:si>
    <x:t xml:space="preserve">Health</x:t>
  </x:si>
  <x:si>
    <x:t xml:space="preserve">Learning</x:t>
  </x:si>
  <x:si>
    <x:t xml:space="preserve">Total</x:t>
  </x:si>
</x:sst>
</file>

<file path=xl/styles.xml><?xml version="1.0" encoding="utf-8"?>
<x:styleSheet xmlns:x="http://schemas.openxmlformats.org/spreadsheetml/2006/main">
  <x:numFmts count="3">
    <x:numFmt numFmtId="164" formatCode="0.0%"/>
    <x:numFmt numFmtId="165" formatCode="yyyy-mm-dd"/>
    <x:numFmt numFmtId="166" formatCode="mmm d"/>
  </x:numFmts>
  <x:fonts count="9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b/>
      <x:sz val="16"/>
      <x:color rgb="FF000000"/>
      <x:name val="Calibri"/>
      <x:family val="2"/>
    </x:font>
    <x:font>
      <x:b/>
      <x:sz val="16"/>
      <x:color rgb="FF1F3A5F"/>
      <x:name val="Calibri"/>
      <x:family val="2"/>
    </x:font>
    <x:font>
      <x:sz val="11"/>
      <x:color rgb="FF5E6B7A"/>
      <x:name val="Calibri"/>
      <x:family val="2"/>
    </x:font>
    <x:font>
      <x:sz val="10"/>
      <x:color rgb="FF5E6B7A"/>
      <x:name val="Calibri"/>
      <x:family val="2"/>
    </x:font>
    <x:font>
      <x:b/>
      <x:sz val="11"/>
      <x:color rgb="FFFFFFFF"/>
      <x:name val="Calibri"/>
      <x:family val="2"/>
    </x:font>
    <x:font>
      <x:sz val="11"/>
      <x:color rgb="FF2F5D8A"/>
      <x:name val="Calibri"/>
      <x:family val="2"/>
    </x:font>
    <x:font>
      <x:sz val="11"/>
      <x:color rgb="FFA4492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3A5F"/>
        <x:bgColor indexed="64"/>
      </x:patternFill>
    </x:fill>
    <x:fill>
      <x:patternFill patternType="solid">
        <x:fgColor rgb="FFEEF2F7"/>
        <x:bgColor indexed="64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>
        <x:color rgb="FFC9D3E0"/>
      </x:left>
      <x:right style="thin">
        <x:color rgb="FFC9D3E0"/>
      </x:right>
      <x:top style="thin">
        <x:color rgb="FFC9D3E0"/>
      </x:top>
      <x:bottom style="thin">
        <x:color rgb="FFC9D3E0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  <x:xf numFmtId="4" fontId="3" fillId="0" borderId="0" xfId="0" applyNumberFormat="1" applyFont="1"/>
    <x:xf numFmtId="4" fontId="3" fillId="0" borderId="0" xfId="0" applyNumberFormat="1" applyFont="1" applyAlignment="1">
      <x:alignment horizontal="left"/>
    </x:xf>
    <x:xf numFmtId="164" fontId="3" fillId="0" borderId="0" xfId="0" applyNumberFormat="1" applyFont="1"/>
    <x:xf numFmtId="164" fontId="3" fillId="0" borderId="0" xfId="0" applyNumberFormat="1" applyFont="1" applyAlignment="1">
      <x:alignment horizontal="left"/>
    </x:xf>
    <x:xf numFmtId="0" fontId="1" fillId="2" borderId="0" xfId="0" applyFont="1" applyFill="1"/>
    <x:xf numFmtId="0" fontId="6" fillId="2" borderId="0" xfId="0" applyFont="1" applyFill="1"/>
    <x:xf numFmtId="0" fontId="6" fillId="2" borderId="0" xfId="0" applyFont="1" applyFill="1" applyAlignment="1">
      <x:alignment horizontal="center"/>
    </x:xf>
    <x:xf numFmtId="0" fontId="6" fillId="2" borderId="0" xfId="0" applyFont="1" applyFill="1" applyAlignment="1">
      <x:alignment horizontal="center" vertical="center"/>
    </x:xf>
    <x:xf numFmtId="165" fontId="0" fillId="0" borderId="0" xfId="0" applyNumberFormat="1"/>
    <x:xf numFmtId="166" fontId="0" fillId="0" borderId="0" xfId="0" applyNumberFormat="1"/>
    <x:xf numFmtId="166" fontId="0" fillId="0" borderId="0" xfId="0" applyNumberFormat="1" applyAlignment="1">
      <x:alignment horizontal="left"/>
    </x:xf>
    <x:xf numFmtId="4" fontId="0" fillId="0" borderId="0" xfId="0" applyNumberFormat="1"/>
    <x:xf numFmtId="166" fontId="0" fillId="0" borderId="1" xfId="0" applyNumberFormat="1" applyBorder="1" applyAlignment="1">
      <x:alignment horizontal="left"/>
    </x:xf>
    <x:xf numFmtId="0" fontId="0" fillId="0" borderId="1" xfId="0" applyBorder="1"/>
    <x:xf numFmtId="4" fontId="0" fillId="0" borderId="1" xfId="0" applyNumberFormat="1" applyBorder="1"/>
    <x:xf numFmtId="166" fontId="0" fillId="0" borderId="2" xfId="0" applyNumberFormat="1" applyBorder="1" applyAlignment="1">
      <x:alignment horizontal="left"/>
    </x:xf>
    <x:xf numFmtId="0" fontId="0" fillId="0" borderId="2" xfId="0" applyBorder="1"/>
    <x:xf numFmtId="4" fontId="0" fillId="0" borderId="2" xfId="0" applyNumberFormat="1" applyBorder="1"/>
    <x:xf numFmtId="4" fontId="7" fillId="0" borderId="2" xfId="0" applyNumberFormat="1" applyFont="1" applyBorder="1"/>
    <x:xf numFmtId="4" fontId="8" fillId="0" borderId="2" xfId="0" applyNumberFormat="1" applyFont="1" applyBorder="1"/>
    <x:xf numFmtId="164" fontId="0" fillId="0" borderId="0" xfId="0" applyNumberFormat="1"/>
    <x:xf numFmtId="164" fontId="0" fillId="0" borderId="1" xfId="0" applyNumberFormat="1" applyBorder="1"/>
    <x:xf numFmtId="164" fontId="0" fillId="0" borderId="2" xfId="0" applyNumberFormat="1" applyBorder="1"/>
    <x:xf numFmtId="0" fontId="1" fillId="0" borderId="2" xfId="0" applyFont="1" applyBorder="1"/>
    <x:xf numFmtId="4" fontId="1" fillId="0" borderId="2" xfId="0" applyNumberFormat="1" applyFont="1" applyBorder="1"/>
    <x:xf numFmtId="164" fontId="1" fillId="0" borderId="2" xfId="0" applyNumberFormat="1" applyFont="1" applyBorder="1"/>
    <x:xf numFmtId="0" fontId="1" fillId="3" borderId="2" xfId="0" applyFont="1" applyFill="1" applyBorder="1"/>
    <x:xf numFmtId="4" fontId="1" fillId="3" borderId="2" xfId="0" applyNumberFormat="1" applyFont="1" applyFill="1" applyBorder="1"/>
    <x:xf numFmtId="164" fontId="1" fillId="3" borderId="2" xfId="0" applyNumberFormat="1" applyFont="1" applyFill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cc2d94030b4b23" /><Relationship Type="http://schemas.openxmlformats.org/officeDocument/2006/relationships/styles" Target="/xl/styles.xml" Id="R3df4e19a35604534" /><Relationship Type="http://schemas.openxmlformats.org/officeDocument/2006/relationships/sharedStrings" Target="/xl/sharedStrings.xml" Id="R2d24fc824c6e40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ada7b3a731462d" /></Relationships>
</file>

<file path=xl/drawings/charts/chart1.xml><?xml version="1.0" encoding="utf-8"?>
<c:chartSpace xmlns:c="http://schemas.openxmlformats.org/drawingml/2006/chart" xmlns:a="http://schemas.openxmlformats.org/drawingml/2006/main">
  <c:roundedCorners val="0"/>
  <c:chart>
    <c:title>
      <c:tx>
        <c:rich>
          <a:bodyPr/>
          <a:lstStyle/>
          <a:p>
            <a:pPr>
              <a:defRPr/>
            </a:pPr>
            <a:r>
              <a:t>Where it went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September!$J$6</c:f>
              <c:strCache>
                <c:ptCount val="1"/>
                <c:pt idx="0">
                  <c:v>Spending</c:v>
                </c:pt>
              </c:strCache>
            </c:strRef>
          </c:tx>
          <c:cat>
            <c:strRef>
              <c:f>September!$I$7:$I$13</c:f>
              <c:strCache>
                <c:ptCount val="7"/>
                <c:pt idx="0">
                  <c:v>Home</c:v>
                </c:pt>
                <c:pt idx="1">
                  <c:v>Food</c:v>
                </c:pt>
                <c:pt idx="2">
                  <c:v>Transport</c:v>
                </c:pt>
                <c:pt idx="3">
                  <c:v>Shopping</c:v>
                </c:pt>
                <c:pt idx="4">
                  <c:v>Leisure</c:v>
                </c:pt>
                <c:pt idx="5">
                  <c:v>Health</c:v>
                </c:pt>
                <c:pt idx="6">
                  <c:v>Learning</c:v>
                </c:pt>
              </c:strCache>
            </c:strRef>
          </c:cat>
          <c:val>
            <c:numRef>
              <c:f>September!$J$7:$J$13</c:f>
              <c:numCache>
                <c:formatCode>General</c:formatCode>
                <c:ptCount val="7"/>
              </c:numCache>
            </c:numRef>
          </c:val>
        </c:ser>
        <c:firstSliceAng val="0"/>
        <c:holeSize val="50"/>
      </c:doughnutChart>
    </c:plotArea>
    <c:legend>
      <c:legendPos val="r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9</xdr:col>
      <xdr:colOff>417600</xdr:colOff>
      <xdr:row>16</xdr:row>
      <xdr:rowOff>5800</xdr:rowOff>
    </xdr:from>
    <xdr:to>
      <xdr:col>15</xdr:col>
      <xdr:colOff>0</xdr:colOff>
      <xdr:row>28</xdr:row>
      <xdr:rowOff>59800</xdr:rowOff>
    </xdr:to>
    <xdr:graphicFrame macro="">
      <xdr:nvGraphicFramePr>
        <xdr:cNvPr id="2" name="Chart 2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ada7b3a731462d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fdb6291d314f87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workbookViewId="0">
      <x:pane ySplit="6" topLeftCell="A7" activePane="bottomLeft" state="frozen"/>
    </x:sheetView>
  </x:sheetViews>
  <x:cols>
    <x:col min="1" max="1" width="10" customWidth="1"/>
    <x:col min="2" max="2" width="11" customWidth="1"/>
    <x:col min="3" max="3" width="18" customWidth="1"/>
    <x:col min="4" max="4" width="9" customWidth="1"/>
    <x:col min="5" max="5" width="11" customWidth="1"/>
    <x:col min="6" max="6" width="11" customWidth="1"/>
    <x:col min="7" max="7" width="12" customWidth="1"/>
    <x:col min="8" max="8" width="3" customWidth="1"/>
    <x:col min="9" max="9" width="10" customWidth="1"/>
    <x:col min="10" max="10" width="11" customWidth="1"/>
    <x:col min="11" max="11" width="8" customWidth="1"/>
  </x:cols>
  <x:sheetData>
    <x:row r="1" ht="30" customHeight="1">
      <x:c r="A1" s="3" t="s">
        <x:v>0</x:v>
      </x:c>
    </x:row>
    <x:row r="3">
      <x:c r="A3" s="5" t="s">
        <x:v>1</x:v>
      </x:c>
      <x:c r="C3" s="5" t="s">
        <x:v>2</x:v>
      </x:c>
      <x:c r="E3" s="5" t="s">
        <x:v>3</x:v>
      </x:c>
      <x:c r="G3" s="5" t="s">
        <x:v>4</x:v>
      </x:c>
    </x:row>
    <x:row r="4" ht="26" customHeight="1">
      <x:c r="A4" s="7">
        <x:f>SUM(E7:E40)</x:f>
      </x:c>
      <x:c r="C4" s="7">
        <x:f>SUM(F7:F40)</x:f>
      </x:c>
      <x:c r="E4" s="7">
        <x:f>A4-C4</x:f>
      </x:c>
      <x:c r="G4" s="9">
        <x:f>IFERROR(C4/A4,0)</x:f>
      </x:c>
    </x:row>
    <x:row r="6" ht="22" customHeight="1">
      <x:c r="A6" s="13" t="s">
        <x:v>5</x:v>
      </x:c>
      <x:c r="B6" s="13" t="s">
        <x:v>6</x:v>
      </x:c>
      <x:c r="C6" s="13" t="s">
        <x:v>7</x:v>
      </x:c>
      <x:c r="D6" s="13" t="s">
        <x:v>8</x:v>
      </x:c>
      <x:c r="E6" s="13" t="s">
        <x:v>9</x:v>
      </x:c>
      <x:c r="F6" s="13" t="s">
        <x:v>10</x:v>
      </x:c>
      <x:c r="G6" s="13" t="s">
        <x:v>11</x:v>
      </x:c>
      <x:c r="I6" s="13" t="s">
        <x:v>54</x:v>
      </x:c>
      <x:c r="J6" s="13" t="s">
        <x:v>55</x:v>
      </x:c>
      <x:c r="K6" s="13" t="s">
        <x:v>56</x:v>
      </x:c>
    </x:row>
    <x:row r="7">
      <x:c r="A7" s="21">
        <x:v>46266</x:v>
      </x:c>
      <x:c r="B7" s="22" t="s">
        <x:v>12</x:v>
      </x:c>
      <x:c r="C7" s="22" t="s">
        <x:v>13</x:v>
      </x:c>
      <x:c r="D7" s="22" t="s">
        <x:v>14</x:v>
      </x:c>
      <x:c r="E7" s="24">
        <x:v>12800</x:v>
      </x:c>
      <x:c r="F7" s="25"/>
      <x:c r="G7" s="23">
        <x:f>IF(AND(E7="",F7=""),"",SUM(E$7:E7)-SUM(F$7:F7))</x:f>
      </x:c>
      <x:c r="I7" s="22" t="s">
        <x:v>57</x:v>
      </x:c>
      <x:c r="J7" s="23">
        <x:f>SUMIF($B$7:$B$40,I7,$F$7:$F$40)</x:f>
      </x:c>
      <x:c r="K7" s="28">
        <x:f>IFERROR(J7/SUM($J$7:$J$13),0)</x:f>
      </x:c>
    </x:row>
    <x:row r="8">
      <x:c r="A8" s="21">
        <x:v>46266</x:v>
      </x:c>
      <x:c r="B8" s="22" t="s">
        <x:v>15</x:v>
      </x:c>
      <x:c r="C8" s="22" t="s">
        <x:v>16</x:v>
      </x:c>
      <x:c r="D8" s="22" t="s">
        <x:v>17</x:v>
      </x:c>
      <x:c r="E8" s="24"/>
      <x:c r="F8" s="25">
        <x:v>3200</x:v>
      </x:c>
      <x:c r="G8" s="23">
        <x:f>IF(AND(E8="",F8=""),"",SUM(E$7:E8)-SUM(F$7:F8))</x:f>
      </x:c>
      <x:c r="I8" s="22" t="s">
        <x:v>58</x:v>
      </x:c>
      <x:c r="J8" s="23">
        <x:f>SUMIF($B$7:$B$40,I8,$F$7:$F$40)</x:f>
      </x:c>
      <x:c r="K8" s="28">
        <x:f>IFERROR(J8/SUM($J$7:$J$13),0)</x:f>
      </x:c>
    </x:row>
    <x:row r="9">
      <x:c r="A9" s="21">
        <x:v>46267</x:v>
      </x:c>
      <x:c r="B9" s="22" t="s">
        <x:v>18</x:v>
      </x:c>
      <x:c r="C9" s="22" t="s">
        <x:v>19</x:v>
      </x:c>
      <x:c r="D9" s="22" t="s">
        <x:v>20</x:v>
      </x:c>
      <x:c r="E9" s="24"/>
      <x:c r="F9" s="25">
        <x:v>286.5</x:v>
      </x:c>
      <x:c r="G9" s="23">
        <x:f>IF(AND(E9="",F9=""),"",SUM(E$7:E9)-SUM(F$7:F9))</x:f>
      </x:c>
      <x:c r="I9" s="22" t="s">
        <x:v>59</x:v>
      </x:c>
      <x:c r="J9" s="23">
        <x:f>SUMIF($B$7:$B$40,I9,$F$7:$F$40)</x:f>
      </x:c>
      <x:c r="K9" s="28">
        <x:f>IFERROR(J9/SUM($J$7:$J$13),0)</x:f>
      </x:c>
    </x:row>
    <x:row r="10">
      <x:c r="A10" s="21">
        <x:v>46268</x:v>
      </x:c>
      <x:c r="B10" s="22" t="s">
        <x:v>21</x:v>
      </x:c>
      <x:c r="C10" s="22" t="s">
        <x:v>22</x:v>
      </x:c>
      <x:c r="D10" s="22" t="s">
        <x:v>23</x:v>
      </x:c>
      <x:c r="E10" s="24"/>
      <x:c r="F10" s="25">
        <x:v>100</x:v>
      </x:c>
      <x:c r="G10" s="23">
        <x:f>IF(AND(E10="",F10=""),"",SUM(E$7:E10)-SUM(F$7:F10))</x:f>
      </x:c>
      <x:c r="I10" s="22" t="s">
        <x:v>60</x:v>
      </x:c>
      <x:c r="J10" s="23">
        <x:f>SUMIF($B$7:$B$40,I10,$F$7:$F$40)</x:f>
      </x:c>
      <x:c r="K10" s="28">
        <x:f>IFERROR(J10/SUM($J$7:$J$13),0)</x:f>
      </x:c>
    </x:row>
    <x:row r="11">
      <x:c r="A11" s="21">
        <x:v>46270</x:v>
      </x:c>
      <x:c r="B11" s="22" t="s">
        <x:v>24</x:v>
      </x:c>
      <x:c r="C11" s="22" t="s">
        <x:v>25</x:v>
      </x:c>
      <x:c r="D11" s="22" t="s">
        <x:v>26</x:v>
      </x:c>
      <x:c r="E11" s="24"/>
      <x:c r="F11" s="25">
        <x:v>238</x:v>
      </x:c>
      <x:c r="G11" s="23">
        <x:f>IF(AND(E11="",F11=""),"",SUM(E$7:E11)-SUM(F$7:F11))</x:f>
      </x:c>
      <x:c r="I11" s="22" t="s">
        <x:v>61</x:v>
      </x:c>
      <x:c r="J11" s="23">
        <x:f>SUMIF($B$7:$B$40,I11,$F$7:$F$40)</x:f>
      </x:c>
      <x:c r="K11" s="28">
        <x:f>IFERROR(J11/SUM($J$7:$J$13),0)</x:f>
      </x:c>
    </x:row>
    <x:row r="12">
      <x:c r="A12" s="21">
        <x:v>46272</x:v>
      </x:c>
      <x:c r="B12" s="22" t="s">
        <x:v>27</x:v>
      </x:c>
      <x:c r="C12" s="22" t="s">
        <x:v>28</x:v>
      </x:c>
      <x:c r="D12" s="22" t="s">
        <x:v>29</x:v>
      </x:c>
      <x:c r="E12" s="24"/>
      <x:c r="F12" s="25">
        <x:v>459</x:v>
      </x:c>
      <x:c r="G12" s="23">
        <x:f>IF(AND(E12="",F12=""),"",SUM(E$7:E12)-SUM(F$7:F12))</x:f>
      </x:c>
      <x:c r="I12" s="22" t="s">
        <x:v>62</x:v>
      </x:c>
      <x:c r="J12" s="23">
        <x:f>SUMIF($B$7:$B$40,I12,$F$7:$F$40)</x:f>
      </x:c>
      <x:c r="K12" s="28">
        <x:f>IFERROR(J12/SUM($J$7:$J$13),0)</x:f>
      </x:c>
    </x:row>
    <x:row r="13">
      <x:c r="A13" s="21">
        <x:v>46275</x:v>
      </x:c>
      <x:c r="B13" s="22" t="s">
        <x:v>30</x:v>
      </x:c>
      <x:c r="C13" s="22" t="s">
        <x:v>31</x:v>
      </x:c>
      <x:c r="D13" s="22" t="s">
        <x:v>32</x:v>
      </x:c>
      <x:c r="E13" s="24"/>
      <x:c r="F13" s="25">
        <x:v>312.4</x:v>
      </x:c>
      <x:c r="G13" s="23">
        <x:f>IF(AND(E13="",F13=""),"",SUM(E$7:E13)-SUM(F$7:F13))</x:f>
      </x:c>
      <x:c r="I13" s="22" t="s">
        <x:v>63</x:v>
      </x:c>
      <x:c r="J13" s="23">
        <x:f>SUMIF($B$7:$B$40,I13,$F$7:$F$40)</x:f>
      </x:c>
      <x:c r="K13" s="28">
        <x:f>IFERROR(J13/SUM($J$7:$J$13),0)</x:f>
      </x:c>
    </x:row>
    <x:row r="14">
      <x:c r="A14" s="21">
        <x:v>46277</x:v>
      </x:c>
      <x:c r="B14" s="22" t="s">
        <x:v>33</x:v>
      </x:c>
      <x:c r="C14" s="22" t="s">
        <x:v>34</x:v>
      </x:c>
      <x:c r="D14" s="22" t="s">
        <x:v>35</x:v>
      </x:c>
      <x:c r="E14" s="24"/>
      <x:c r="F14" s="25">
        <x:v>168</x:v>
      </x:c>
      <x:c r="G14" s="23">
        <x:f>IF(AND(E14="",F14=""),"",SUM(E$7:E14)-SUM(F$7:F14))</x:f>
      </x:c>
      <x:c r="I14" s="32" t="s">
        <x:v>64</x:v>
      </x:c>
      <x:c r="J14" s="33">
        <x:f>SUM(J7:J13)</x:f>
      </x:c>
      <x:c r="K14" s="34">
        <x:f>SUM(K7:K13)</x:f>
      </x:c>
    </x:row>
    <x:row r="15">
      <x:c r="A15" s="21">
        <x:v>46280</x:v>
      </x:c>
      <x:c r="B15" s="22" t="s">
        <x:v>36</x:v>
      </x:c>
      <x:c r="C15" s="22" t="s">
        <x:v>37</x:v>
      </x:c>
      <x:c r="D15" s="22" t="s">
        <x:v>38</x:v>
      </x:c>
      <x:c r="E15" s="24">
        <x:v>1500</x:v>
      </x:c>
      <x:c r="F15" s="25"/>
      <x:c r="G15" s="23">
        <x:f>IF(AND(E15="",F15=""),"",SUM(E$7:E15)-SUM(F$7:F15))</x:f>
      </x:c>
    </x:row>
    <x:row r="16">
      <x:c r="A16" s="21">
        <x:v>46281</x:v>
      </x:c>
      <x:c r="B16" s="22" t="s">
        <x:v>39</x:v>
      </x:c>
      <x:c r="C16" s="22" t="s">
        <x:v>40</x:v>
      </x:c>
      <x:c r="D16" s="22" t="s">
        <x:v>41</x:v>
      </x:c>
      <x:c r="E16" s="24"/>
      <x:c r="F16" s="25">
        <x:v>420</x:v>
      </x:c>
      <x:c r="G16" s="23">
        <x:f>IF(AND(E16="",F16=""),"",SUM(E$7:E16)-SUM(F$7:F16))</x:f>
      </x:c>
    </x:row>
    <x:row r="17">
      <x:c r="A17" s="21">
        <x:v>46283</x:v>
      </x:c>
      <x:c r="B17" s="22" t="s">
        <x:v>42</x:v>
      </x:c>
      <x:c r="C17" s="22" t="s">
        <x:v>43</x:v>
      </x:c>
      <x:c r="D17" s="22" t="s">
        <x:v>44</x:v>
      </x:c>
      <x:c r="E17" s="24"/>
      <x:c r="F17" s="25">
        <x:v>356</x:v>
      </x:c>
      <x:c r="G17" s="23">
        <x:f>IF(AND(E17="",F17=""),"",SUM(E$7:E17)-SUM(F$7:F17))</x:f>
      </x:c>
    </x:row>
    <x:row r="18">
      <x:c r="A18" s="21">
        <x:v>46286</x:v>
      </x:c>
      <x:c r="B18" s="22" t="s">
        <x:v>45</x:v>
      </x:c>
      <x:c r="C18" s="22" t="s">
        <x:v>46</x:v>
      </x:c>
      <x:c r="D18" s="22" t="s">
        <x:v>47</x:v>
      </x:c>
      <x:c r="E18" s="24"/>
      <x:c r="F18" s="25">
        <x:v>299</x:v>
      </x:c>
      <x:c r="G18" s="23">
        <x:f>IF(AND(E18="",F18=""),"",SUM(E$7:E18)-SUM(F$7:F18))</x:f>
      </x:c>
    </x:row>
    <x:row r="19">
      <x:c r="A19" s="21">
        <x:v>46289</x:v>
      </x:c>
      <x:c r="B19" s="22" t="s">
        <x:v>48</x:v>
      </x:c>
      <x:c r="C19" s="22" t="s">
        <x:v>49</x:v>
      </x:c>
      <x:c r="D19" s="22" t="s">
        <x:v>50</x:v>
      </x:c>
      <x:c r="E19" s="24"/>
      <x:c r="F19" s="25">
        <x:v>64.8</x:v>
      </x:c>
      <x:c r="G19" s="23">
        <x:f>IF(AND(E19="",F19=""),"",SUM(E$7:E19)-SUM(F$7:F19))</x:f>
      </x:c>
    </x:row>
    <x:row r="20">
      <x:c r="A20" s="21">
        <x:v>46292</x:v>
      </x:c>
      <x:c r="B20" s="22" t="s">
        <x:v>51</x:v>
      </x:c>
      <x:c r="C20" s="22" t="s">
        <x:v>52</x:v>
      </x:c>
      <x:c r="D20" s="22" t="s">
        <x:v>53</x:v>
      </x:c>
      <x:c r="E20" s="24"/>
      <x:c r="F20" s="25">
        <x:v>132.9</x:v>
      </x:c>
      <x:c r="G20" s="23">
        <x:f>IF(AND(E20="",F20=""),"",SUM(E$7:E20)-SUM(F$7:F20))</x:f>
      </x:c>
    </x:row>
    <x:row r="21">
      <x:c r="A21" s="21"/>
      <x:c r="B21" s="22"/>
      <x:c r="C21" s="22"/>
      <x:c r="D21" s="22"/>
      <x:c r="E21" s="24"/>
      <x:c r="F21" s="25"/>
      <x:c r="G21" s="23">
        <x:f>IF(AND(E21="",F21=""),"",SUM(E$7:E21)-SUM(F$7:F21))</x:f>
      </x:c>
    </x:row>
    <x:row r="22">
      <x:c r="A22" s="21"/>
      <x:c r="B22" s="22"/>
      <x:c r="C22" s="22"/>
      <x:c r="D22" s="22"/>
      <x:c r="E22" s="24"/>
      <x:c r="F22" s="25"/>
      <x:c r="G22" s="23">
        <x:f>IF(AND(E22="",F22=""),"",SUM(E$7:E22)-SUM(F$7:F22))</x:f>
      </x:c>
    </x:row>
    <x:row r="23">
      <x:c r="A23" s="21"/>
      <x:c r="B23" s="22"/>
      <x:c r="C23" s="22"/>
      <x:c r="D23" s="22"/>
      <x:c r="E23" s="24"/>
      <x:c r="F23" s="25"/>
      <x:c r="G23" s="23">
        <x:f>IF(AND(E23="",F23=""),"",SUM(E$7:E23)-SUM(F$7:F23))</x:f>
      </x:c>
    </x:row>
    <x:row r="24">
      <x:c r="A24" s="21"/>
      <x:c r="B24" s="22"/>
      <x:c r="C24" s="22"/>
      <x:c r="D24" s="22"/>
      <x:c r="E24" s="24"/>
      <x:c r="F24" s="25"/>
      <x:c r="G24" s="23">
        <x:f>IF(AND(E24="",F24=""),"",SUM(E$7:E24)-SUM(F$7:F24))</x:f>
      </x:c>
    </x:row>
    <x:row r="25">
      <x:c r="A25" s="21"/>
      <x:c r="B25" s="22"/>
      <x:c r="C25" s="22"/>
      <x:c r="D25" s="22"/>
      <x:c r="E25" s="24"/>
      <x:c r="F25" s="25"/>
      <x:c r="G25" s="23">
        <x:f>IF(AND(E25="",F25=""),"",SUM(E$7:E25)-SUM(F$7:F25))</x:f>
      </x:c>
    </x:row>
    <x:row r="26">
      <x:c r="A26" s="21"/>
      <x:c r="B26" s="22"/>
      <x:c r="C26" s="22"/>
      <x:c r="D26" s="22"/>
      <x:c r="E26" s="24"/>
      <x:c r="F26" s="25"/>
      <x:c r="G26" s="23">
        <x:f>IF(AND(E26="",F26=""),"",SUM(E$7:E26)-SUM(F$7:F26))</x:f>
      </x:c>
    </x:row>
    <x:row r="27">
      <x:c r="A27" s="21"/>
      <x:c r="B27" s="22"/>
      <x:c r="C27" s="22"/>
      <x:c r="D27" s="22"/>
      <x:c r="E27" s="24"/>
      <x:c r="F27" s="25"/>
      <x:c r="G27" s="23">
        <x:f>IF(AND(E27="",F27=""),"",SUM(E$7:E27)-SUM(F$7:F27))</x:f>
      </x:c>
    </x:row>
    <x:row r="28">
      <x:c r="A28" s="21"/>
      <x:c r="B28" s="22"/>
      <x:c r="C28" s="22"/>
      <x:c r="D28" s="22"/>
      <x:c r="E28" s="24"/>
      <x:c r="F28" s="25"/>
      <x:c r="G28" s="23">
        <x:f>IF(AND(E28="",F28=""),"",SUM(E$7:E28)-SUM(F$7:F28))</x:f>
      </x:c>
    </x:row>
    <x:row r="29">
      <x:c r="A29" s="21"/>
      <x:c r="B29" s="22"/>
      <x:c r="C29" s="22"/>
      <x:c r="D29" s="22"/>
      <x:c r="E29" s="24"/>
      <x:c r="F29" s="25"/>
      <x:c r="G29" s="23">
        <x:f>IF(AND(E29="",F29=""),"",SUM(E$7:E29)-SUM(F$7:F29))</x:f>
      </x:c>
    </x:row>
    <x:row r="30">
      <x:c r="A30" s="21"/>
      <x:c r="B30" s="22"/>
      <x:c r="C30" s="22"/>
      <x:c r="D30" s="22"/>
      <x:c r="E30" s="24"/>
      <x:c r="F30" s="25"/>
      <x:c r="G30" s="23">
        <x:f>IF(AND(E30="",F30=""),"",SUM(E$7:E30)-SUM(F$7:F30))</x:f>
      </x:c>
    </x:row>
    <x:row r="31">
      <x:c r="A31" s="21"/>
      <x:c r="B31" s="22"/>
      <x:c r="C31" s="22"/>
      <x:c r="D31" s="22"/>
      <x:c r="E31" s="24"/>
      <x:c r="F31" s="25"/>
      <x:c r="G31" s="23">
        <x:f>IF(AND(E31="",F31=""),"",SUM(E$7:E31)-SUM(F$7:F31))</x:f>
      </x:c>
    </x:row>
    <x:row r="32">
      <x:c r="A32" s="21"/>
      <x:c r="B32" s="22"/>
      <x:c r="C32" s="22"/>
      <x:c r="D32" s="22"/>
      <x:c r="E32" s="24"/>
      <x:c r="F32" s="25"/>
      <x:c r="G32" s="23">
        <x:f>IF(AND(E32="",F32=""),"",SUM(E$7:E32)-SUM(F$7:F32))</x:f>
      </x:c>
    </x:row>
    <x:row r="33">
      <x:c r="A33" s="21"/>
      <x:c r="B33" s="22"/>
      <x:c r="C33" s="22"/>
      <x:c r="D33" s="22"/>
      <x:c r="E33" s="24"/>
      <x:c r="F33" s="25"/>
      <x:c r="G33" s="23">
        <x:f>IF(AND(E33="",F33=""),"",SUM(E$7:E33)-SUM(F$7:F33))</x:f>
      </x:c>
    </x:row>
    <x:row r="34">
      <x:c r="A34" s="21"/>
      <x:c r="B34" s="22"/>
      <x:c r="C34" s="22"/>
      <x:c r="D34" s="22"/>
      <x:c r="E34" s="24"/>
      <x:c r="F34" s="25"/>
      <x:c r="G34" s="23">
        <x:f>IF(AND(E34="",F34=""),"",SUM(E$7:E34)-SUM(F$7:F34))</x:f>
      </x:c>
    </x:row>
    <x:row r="35">
      <x:c r="A35" s="21"/>
      <x:c r="B35" s="22"/>
      <x:c r="C35" s="22"/>
      <x:c r="D35" s="22"/>
      <x:c r="E35" s="24"/>
      <x:c r="F35" s="25"/>
      <x:c r="G35" s="23">
        <x:f>IF(AND(E35="",F35=""),"",SUM(E$7:E35)-SUM(F$7:F35))</x:f>
      </x:c>
    </x:row>
    <x:row r="36">
      <x:c r="A36" s="21"/>
      <x:c r="B36" s="22"/>
      <x:c r="C36" s="22"/>
      <x:c r="D36" s="22"/>
      <x:c r="E36" s="24"/>
      <x:c r="F36" s="25"/>
      <x:c r="G36" s="23">
        <x:f>IF(AND(E36="",F36=""),"",SUM(E$7:E36)-SUM(F$7:F36))</x:f>
      </x:c>
    </x:row>
    <x:row r="37">
      <x:c r="A37" s="21"/>
      <x:c r="B37" s="22"/>
      <x:c r="C37" s="22"/>
      <x:c r="D37" s="22"/>
      <x:c r="E37" s="24"/>
      <x:c r="F37" s="25"/>
      <x:c r="G37" s="23">
        <x:f>IF(AND(E37="",F37=""),"",SUM(E$7:E37)-SUM(F$7:F37))</x:f>
      </x:c>
    </x:row>
    <x:row r="38">
      <x:c r="A38" s="21"/>
      <x:c r="B38" s="22"/>
      <x:c r="C38" s="22"/>
      <x:c r="D38" s="22"/>
      <x:c r="E38" s="24"/>
      <x:c r="F38" s="25"/>
      <x:c r="G38" s="23">
        <x:f>IF(AND(E38="",F38=""),"",SUM(E$7:E38)-SUM(F$7:F38))</x:f>
      </x:c>
    </x:row>
    <x:row r="39">
      <x:c r="A39" s="21"/>
      <x:c r="B39" s="22"/>
      <x:c r="C39" s="22"/>
      <x:c r="D39" s="22"/>
      <x:c r="E39" s="24"/>
      <x:c r="F39" s="25"/>
      <x:c r="G39" s="23">
        <x:f>IF(AND(E39="",F39=""),"",SUM(E$7:E39)-SUM(F$7:F39))</x:f>
      </x:c>
    </x:row>
    <x:row r="40">
      <x:c r="A40" s="21"/>
      <x:c r="B40" s="22"/>
      <x:c r="C40" s="22"/>
      <x:c r="D40" s="22"/>
      <x:c r="E40" s="24"/>
      <x:c r="F40" s="25"/>
      <x:c r="G40" s="23">
        <x:f>IF(AND(E40="",F40=""),"",SUM(E$7:E40)-SUM(F$7:F40))</x:f>
      </x:c>
    </x:row>
  </x:sheetData>
  <x:mergeCells count="7">
    <x:mergeCell ref="A1:G1"/>
    <x:mergeCell ref="A3:B3"/>
    <x:mergeCell ref="A4:B4"/>
    <x:mergeCell ref="C3:D3"/>
    <x:mergeCell ref="C4:D4"/>
    <x:mergeCell ref="E3:F3"/>
    <x:mergeCell ref="E4:F4"/>
  </x:mergeCells>
  <x:drawing xmlns:r="http://schemas.openxmlformats.org/officeDocument/2006/relationships" r:id="Rf5fdb6291d314f87"/>
</x:worksheet>
</file>