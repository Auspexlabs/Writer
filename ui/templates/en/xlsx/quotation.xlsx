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ba6f4bc10442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Quotation" sheetId="1" r:id="Rf344349a7da14aec"/>
  </x:sheets>
  <x:calcPr calcId="0" fullCalcOnLoad="1"/>
</x:workbook>
</file>

<file path=xl/sharedStrings.xml><?xml version="1.0" encoding="utf-8"?>
<x:sst xmlns:x="http://schemas.openxmlformats.org/spreadsheetml/2006/main" count="54" uniqueCount="54">
  <x:si>
    <x:t xml:space="preserve">Brightline Technologies Ltd.</x:t>
  </x:si>
  <x:si>
    <x:t xml:space="preserve">258 Wensan Road, Hangzhou · +86 571 0000 0000 · sales@example.com</x:t>
  </x:si>
  <x:si>
    <x:t xml:space="preserve">QUOTATION</x:t>
  </x:si>
  <x:si>
    <x:t xml:space="preserve">Quote no.</x:t>
  </x:si>
  <x:si>
    <x:t xml:space="preserve">QT-20260925-01</x:t>
  </x:si>
  <x:si>
    <x:t xml:space="preserve">Date</x:t>
  </x:si>
  <x:si>
    <x:t xml:space="preserve">Valid until</x:t>
  </x:si>
  <x:si>
    <x:t xml:space="preserve">Customer</x:t>
  </x:si>
  <x:si>
    <x:t xml:space="preserve">Riverstone Media Ltd.</x:t>
  </x:si>
  <x:si>
    <x:t xml:space="preserve">Contact</x:t>
  </x:si>
  <x:si>
    <x:t xml:space="preserve">Sam Taylor</x:t>
  </x:si>
  <x:si>
    <x:t xml:space="preserve">Address</x:t>
  </x:si>
  <x:si>
    <x:t xml:space="preserve">100 Century Avenue, Shanghai</x:t>
  </x:si>
  <x:si>
    <x:t xml:space="preserve">Phone</x:t>
  </x:si>
  <x:si>
    <x:t xml:space="preserve">138 0000 0001</x:t>
  </x:si>
  <x:si>
    <x:t xml:space="preserve">#</x:t>
  </x:si>
  <x:si>
    <x:t xml:space="preserve">Item</x:t>
  </x:si>
  <x:si>
    <x:t xml:space="preserve">Description</x:t>
  </x:si>
  <x:si>
    <x:t xml:space="preserve">Unit</x:t>
  </x:si>
  <x:si>
    <x:t xml:space="preserve">Qty</x:t>
  </x:si>
  <x:si>
    <x:t xml:space="preserve">Unit price</x:t>
  </x:si>
  <x:si>
    <x:t xml:space="preserve">Amount</x:t>
  </x:si>
  <x:si>
    <x:t xml:space="preserve">Notes</x:t>
  </x:si>
  <x:si>
    <x:t xml:space="preserve">Content management system, standard</x:t>
  </x:si>
  <x:si>
    <x:t xml:space="preserve">50 editor seats, one year of upgrades</x:t>
  </x:si>
  <x:si>
    <x:t xml:space="preserve">licence</x:t>
  </x:si>
  <x:si>
    <x:t xml:space="preserve">Custom development</x:t>
  </x:si>
  <x:si>
    <x:t xml:space="preserve">Approval flow and multi-channel publishing</x:t>
  </x:si>
  <x:si>
    <x:t xml:space="preserve">day</x:t>
  </x:si>
  <x:si>
    <x:t xml:space="preserve">Data migration</x:t>
  </x:si>
  <x:si>
    <x:t xml:space="preserve">About 12,000 existing articles</x:t>
  </x:si>
  <x:si>
    <x:t xml:space="preserve">lot</x:t>
  </x:si>
  <x:si>
    <x:t xml:space="preserve">Deployment</x:t>
  </x:si>
  <x:si>
    <x:t xml:space="preserve">Production and staging environments</x:t>
  </x:si>
  <x:si>
    <x:t xml:space="preserve">lot</x:t>
  </x:si>
  <x:si>
    <x:t xml:space="preserve">Training</x:t>
  </x:si>
  <x:si>
    <x:t xml:space="preserve">One admin session, two editor sessions</x:t>
  </x:si>
  <x:si>
    <x:t xml:space="preserve">session</x:t>
  </x:si>
  <x:si>
    <x:t xml:space="preserve">Remote available</x:t>
  </x:si>
  <x:si>
    <x:t xml:space="preserve">Support</x:t>
  </x:si>
  <x:si>
    <x:t xml:space="preserve">Working days 9–6, four-hour response</x:t>
  </x:si>
  <x:si>
    <x:t xml:space="preserve">month</x:t>
  </x:si>
  <x:si>
    <x:t xml:space="preserve">First year</x:t>
  </x:si>
  <x:si>
    <x:t xml:space="preserve">Subtotal</x:t>
  </x:si>
  <x:si>
    <x:t xml:space="preserve">Discount</x:t>
  </x:si>
  <x:si>
    <x:t xml:space="preserve">After discount</x:t>
  </x:si>
  <x:si>
    <x:t xml:space="preserve">Tax (13%)</x:t>
  </x:si>
  <x:si>
    <x:t xml:space="preserve">Total</x:t>
  </x:si>
  <x:si>
    <x:t xml:space="preserve">Terms</x:t>
  </x:si>
  <x:si>
    <x:t xml:space="preserve">1. Payment: 30% on signing, 60% on acceptance, 10% at the end of the support period.</x:t>
  </x:si>
  <x:si>
    <x:t xml:space="preserve">2. Prices include 13% VAT; a VAT invoice is issued.</x:t>
  </x:si>
  <x:si>
    <x:t xml:space="preserve">3. This quotation is valid for 30 days from its date.</x:t>
  </x:si>
  <x:si>
    <x:t xml:space="preserve">Prepared by: Alex Chen</x:t>
  </x:si>
  <x:si>
    <x:t xml:space="preserve">Accepted by (signature):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</x:si>
</x:sst>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$#,##0.00"/>
  </x:numFmts>
  <x:fonts count="13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4"/>
      <x:color rgb="FF000000"/>
      <x:name val="Calibri"/>
      <x:family val="2"/>
    </x:font>
    <x:font>
      <x:b/>
      <x:sz val="14"/>
      <x:color rgb="FF1F3A5F"/>
      <x:name val="Calibri"/>
      <x:family val="2"/>
    </x:font>
    <x:font>
      <x:sz val="11"/>
      <x:color rgb="FF5E6B7A"/>
      <x:name val="Calibri"/>
      <x:family val="2"/>
    </x:font>
    <x:font>
      <x:sz val="9"/>
      <x:color rgb="FF5E6B7A"/>
      <x:name val="Calibri"/>
      <x:family val="2"/>
    </x:font>
    <x:font>
      <x:b/>
      <x:sz val="20"/>
      <x:color rgb="FF000000"/>
      <x:name val="Calibri"/>
      <x:family val="2"/>
    </x:font>
    <x:font>
      <x:b/>
      <x:sz val="20"/>
      <x:color rgb="FF1F3A5F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color rgb="FF5E6B7A"/>
      <x:name val="Calibri"/>
      <x:family val="2"/>
    </x:font>
    <x:font>
      <x:b/>
      <x:sz val="11"/>
      <x:color rgb="FF1F3A5F"/>
      <x:name val="Calibri"/>
      <x:family val="2"/>
    </x:font>
    <x:font>
      <x:b/>
      <x:sz val="12"/>
      <x:color rgb="FF1F3A5F"/>
      <x:name val="Calibri"/>
      <x:family val="2"/>
    </x:font>
    <x:font>
      <x:sz val="10"/>
      <x:color rgb="FF5E6B7A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EF2F7"/>
        <x:bgColor indexed="64"/>
      </x:patternFill>
    </x:fill>
    <x:fill>
      <x:patternFill patternType="solid">
        <x:fgColor rgb="FF1F3A5F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9D3E0"/>
      </x:left>
      <x:right style="thin">
        <x:color rgb="FFC9D3E0"/>
      </x:right>
      <x:top style="thin">
        <x:color rgb="FFC9D3E0"/>
      </x:top>
      <x:bottom style="thin">
        <x:color rgb="FFC9D3E0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7" fillId="0" borderId="0" xfId="0" applyFont="1" applyAlignment="1">
      <x:alignment horizontal="right"/>
    </x:xf>
    <x:xf numFmtId="164" fontId="0" fillId="0" borderId="0" xfId="0" applyNumberFormat="1"/>
    <x:xf numFmtId="0" fontId="4" fillId="0" borderId="0" xfId="0" applyFont="1" applyAlignment="1">
      <x:alignment horizontal="right"/>
    </x:xf>
    <x:xf numFmtId="0" fontId="0" fillId="0" borderId="0" xfId="0" applyAlignment="1">
      <x:alignment horizontal="right"/>
    </x:xf>
    <x:xf numFmtId="164" fontId="0" fillId="0" borderId="0" xfId="0" applyNumberFormat="1" applyAlignment="1">
      <x:alignment horizontal="right"/>
    </x:xf>
    <x:xf numFmtId="0" fontId="0" fillId="2" borderId="0" xfId="0" applyFill="1"/>
    <x:xf numFmtId="0" fontId="0" fillId="2" borderId="1" xfId="0" applyFill="1" applyBorder="1"/>
    <x:xf numFmtId="0" fontId="0" fillId="2" borderId="2" xfId="0" applyFill="1" applyBorder="1"/>
    <x:xf numFmtId="0" fontId="1" fillId="2" borderId="2" xfId="0" applyFont="1" applyFill="1" applyBorder="1"/>
    <x:xf numFmtId="0" fontId="1" fillId="3" borderId="0" xfId="0" applyFont="1" applyFill="1"/>
    <x:xf numFmtId="0" fontId="8" fillId="3" borderId="0" xfId="0" applyFont="1" applyFill="1"/>
    <x:xf numFmtId="0" fontId="8" fillId="3" borderId="0" xfId="0" applyFont="1" applyFill="1" applyAlignment="1">
      <x:alignment horizontal="center"/>
    </x:xf>
    <x:xf numFmtId="0" fontId="8" fillId="3" borderId="0" xfId="0" applyFont="1" applyFill="1" applyAlignment="1">
      <x:alignment horizontal="center" vertical="center"/>
    </x:xf>
    <x:xf numFmtId="0" fontId="9" fillId="0" borderId="0" xfId="0" applyFont="1" applyAlignment="1">
      <x:alignment horizontal="right"/>
    </x:xf>
    <x:xf numFmtId="0" fontId="10" fillId="0" borderId="0" xfId="0" applyFont="1" applyAlignment="1">
      <x:alignment horizontal="right"/>
    </x:xf>
    <x:xf numFmtId="0" fontId="10" fillId="0" borderId="0" xfId="0" applyFont="1"/>
    <x:xf numFmtId="0" fontId="11" fillId="0" borderId="0" xfId="0" applyFont="1" applyAlignment="1">
      <x:alignment horizontal="right"/>
    </x:xf>
    <x:xf numFmtId="0" fontId="11" fillId="0" borderId="0" xfId="0" applyFont="1"/>
    <x:xf numFmtId="165" fontId="0" fillId="0" borderId="0" xfId="0" applyNumberFormat="1"/>
    <x:xf numFmtId="165" fontId="4" fillId="0" borderId="0" xfId="0" applyNumberFormat="1" applyFont="1" applyAlignment="1">
      <x:alignment horizontal="right"/>
    </x:xf>
    <x:xf numFmtId="165" fontId="11" fillId="0" borderId="0" xfId="0" applyNumberFormat="1" applyFont="1" applyAlignment="1">
      <x:alignment horizontal="right"/>
    </x:xf>
    <x:xf numFmtId="165" fontId="11" fillId="0" borderId="0" xfId="0" applyNumberFormat="1" applyFont="1"/>
    <x:xf numFmtId="0" fontId="0" fillId="0" borderId="0" xfId="0" applyAlignment="1">
      <x:alignment horizontal="center"/>
    </x:xf>
    <x:xf numFmtId="0" fontId="4" fillId="0" borderId="0" xfId="0" applyFont="1" applyAlignment="1">
      <x:alignment horizontal="center"/>
    </x:xf>
    <x:xf numFmtId="0" fontId="4" fillId="0" borderId="1" xfId="0" applyFont="1" applyBorder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165" fontId="0" fillId="0" borderId="1" xfId="0" applyNumberFormat="1" applyBorder="1"/>
    <x:xf numFmtId="0" fontId="4" fillId="0" borderId="2" xfId="0" applyFont="1" applyBorder="1" applyAlignment="1">
      <x:alignment horizontal="center"/>
    </x:xf>
    <x:xf numFmtId="0" fontId="0" fillId="0" borderId="2" xfId="0" applyBorder="1"/>
    <x:xf numFmtId="0" fontId="0" fillId="0" borderId="2" xfId="0" applyBorder="1" applyAlignment="1">
      <x:alignment horizontal="center"/>
    </x:xf>
    <x:xf numFmtId="165" fontId="0" fillId="0" borderId="2" xfId="0" applyNumberFormat="1" applyBorder="1"/>
    <x:xf numFmtId="165" fontId="11" fillId="0" borderId="1" xfId="0" applyNumberFormat="1" applyFont="1" applyBorder="1"/>
    <x:xf numFmtId="165" fontId="11" fillId="0" borderId="2" xfId="0" applyNumberFormat="1" applyFont="1" applyBorder="1"/>
    <x:xf numFmtId="0" fontId="12" fillId="0" borderId="0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44349a7da14aec" /><Relationship Type="http://schemas.openxmlformats.org/officeDocument/2006/relationships/styles" Target="/xl/styles.xml" Id="R96111c93283e4d86" /><Relationship Type="http://schemas.openxmlformats.org/officeDocument/2006/relationships/sharedStrings" Target="/xl/sharedStrings.xml" Id="Rc5fc307c1da9420b" /></Relationships>
</file>

<file path=xl/worksheets/sheet1.xml><?xml version="1.0" encoding="utf-8"?>
<x:worksheet xmlns:x="http://schemas.openxmlformats.org/spreadsheetml/2006/main">
  <x:cols>
    <x:col min="1" max="1" width="5" customWidth="1"/>
    <x:col min="2" max="2" width="24" customWidth="1"/>
    <x:col min="3" max="3" width="30" customWidth="1"/>
    <x:col min="4" max="4" width="8" customWidth="1"/>
    <x:col min="5" max="5" width="8" customWidth="1"/>
    <x:col min="6" max="6" width="13" customWidth="1"/>
    <x:col min="7" max="7" width="14" customWidth="1"/>
    <x:col min="8" max="8" width="14" customWidth="1"/>
  </x:cols>
  <x:sheetData>
    <x:row r="1" ht="30" customHeight="1">
      <x:c r="A1" s="3" t="s">
        <x:v>0</x:v>
      </x:c>
      <x:c r="E1" s="8" t="s">
        <x:v>2</x:v>
      </x:c>
    </x:row>
    <x:row r="2">
      <x:c r="A2" s="5" t="s">
        <x:v>1</x:v>
      </x:c>
      <x:c r="E2" s="10" t="s">
        <x:v>3</x:v>
      </x:c>
      <x:c r="F2" s="10"/>
      <x:c r="G2" s="12" t="s">
        <x:v>4</x:v>
      </x:c>
      <x:c r="H2" s="12"/>
    </x:row>
    <x:row r="3">
      <x:c r="E3" s="10" t="s">
        <x:v>5</x:v>
      </x:c>
      <x:c r="F3" s="10"/>
      <x:c r="G3" s="12">
        <x:v>46290</x:v>
      </x:c>
      <x:c r="H3" s="12"/>
    </x:row>
    <x:row r="4">
      <x:c r="E4" s="10" t="s">
        <x:v>6</x:v>
      </x:c>
      <x:c r="F4" s="10"/>
      <x:c r="G4" s="12">
        <x:v>46320</x:v>
      </x:c>
      <x:c r="H4" s="12"/>
    </x:row>
    <x:row r="6">
      <x:c r="A6" s="16" t="s">
        <x:v>7</x:v>
      </x:c>
      <x:c r="B6" s="15" t="s">
        <x:v>8</x:v>
      </x:c>
      <x:c r="C6" s="15"/>
      <x:c r="D6" s="15"/>
      <x:c r="E6" s="16" t="s">
        <x:v>9</x:v>
      </x:c>
      <x:c r="F6" s="15" t="s">
        <x:v>10</x:v>
      </x:c>
      <x:c r="G6" s="15"/>
      <x:c r="H6" s="15"/>
    </x:row>
    <x:row r="7">
      <x:c r="A7" s="16" t="s">
        <x:v>11</x:v>
      </x:c>
      <x:c r="B7" s="15" t="s">
        <x:v>12</x:v>
      </x:c>
      <x:c r="C7" s="15"/>
      <x:c r="D7" s="15"/>
      <x:c r="E7" s="16" t="s">
        <x:v>13</x:v>
      </x:c>
      <x:c r="F7" s="15" t="s">
        <x:v>14</x:v>
      </x:c>
      <x:c r="G7" s="15"/>
      <x:c r="H7" s="15"/>
    </x:row>
    <x:row r="9" ht="22" customHeight="1">
      <x:c r="A9" s="20" t="s">
        <x:v>15</x:v>
      </x:c>
      <x:c r="B9" s="20" t="s">
        <x:v>16</x:v>
      </x:c>
      <x:c r="C9" s="20" t="s">
        <x:v>17</x:v>
      </x:c>
      <x:c r="D9" s="20" t="s">
        <x:v>18</x:v>
      </x:c>
      <x:c r="E9" s="20" t="s">
        <x:v>19</x:v>
      </x:c>
      <x:c r="F9" s="20" t="s">
        <x:v>20</x:v>
      </x:c>
      <x:c r="G9" s="20" t="s">
        <x:v>21</x:v>
      </x:c>
      <x:c r="H9" s="20" t="s">
        <x:v>22</x:v>
      </x:c>
    </x:row>
    <x:row r="10">
      <x:c r="A10" s="36">
        <x:v>1</x:v>
      </x:c>
      <x:c r="B10" s="37" t="s">
        <x:v>23</x:v>
      </x:c>
      <x:c r="C10" s="37" t="s">
        <x:v>24</x:v>
      </x:c>
      <x:c r="D10" s="38" t="s">
        <x:v>25</x:v>
      </x:c>
      <x:c r="E10" s="38">
        <x:v>1</x:v>
      </x:c>
      <x:c r="F10" s="39">
        <x:v>180000</x:v>
      </x:c>
      <x:c r="G10" s="39">
        <x:f>E10*F10</x:f>
      </x:c>
      <x:c r="H10" s="37"/>
    </x:row>
    <x:row r="11">
      <x:c r="A11" s="36">
        <x:v>2</x:v>
      </x:c>
      <x:c r="B11" s="37" t="s">
        <x:v>26</x:v>
      </x:c>
      <x:c r="C11" s="37" t="s">
        <x:v>27</x:v>
      </x:c>
      <x:c r="D11" s="38" t="s">
        <x:v>28</x:v>
      </x:c>
      <x:c r="E11" s="38">
        <x:v>60</x:v>
      </x:c>
      <x:c r="F11" s="39">
        <x:v>2800</x:v>
      </x:c>
      <x:c r="G11" s="39">
        <x:f>E11*F11</x:f>
      </x:c>
      <x:c r="H11" s="37"/>
    </x:row>
    <x:row r="12">
      <x:c r="A12" s="36">
        <x:v>3</x:v>
      </x:c>
      <x:c r="B12" s="37" t="s">
        <x:v>29</x:v>
      </x:c>
      <x:c r="C12" s="37" t="s">
        <x:v>30</x:v>
      </x:c>
      <x:c r="D12" s="38" t="s">
        <x:v>31</x:v>
      </x:c>
      <x:c r="E12" s="38">
        <x:v>1</x:v>
      </x:c>
      <x:c r="F12" s="39">
        <x:v>36000</x:v>
      </x:c>
      <x:c r="G12" s="39">
        <x:f>E12*F12</x:f>
      </x:c>
      <x:c r="H12" s="37"/>
    </x:row>
    <x:row r="13">
      <x:c r="A13" s="36">
        <x:v>4</x:v>
      </x:c>
      <x:c r="B13" s="37" t="s">
        <x:v>32</x:v>
      </x:c>
      <x:c r="C13" s="37" t="s">
        <x:v>33</x:v>
      </x:c>
      <x:c r="D13" s="38" t="s">
        <x:v>34</x:v>
      </x:c>
      <x:c r="E13" s="38">
        <x:v>1</x:v>
      </x:c>
      <x:c r="F13" s="39">
        <x:v>24000</x:v>
      </x:c>
      <x:c r="G13" s="39">
        <x:f>E13*F13</x:f>
      </x:c>
      <x:c r="H13" s="37"/>
    </x:row>
    <x:row r="14">
      <x:c r="A14" s="36">
        <x:v>5</x:v>
      </x:c>
      <x:c r="B14" s="37" t="s">
        <x:v>35</x:v>
      </x:c>
      <x:c r="C14" s="37" t="s">
        <x:v>36</x:v>
      </x:c>
      <x:c r="D14" s="38" t="s">
        <x:v>37</x:v>
      </x:c>
      <x:c r="E14" s="38">
        <x:v>3</x:v>
      </x:c>
      <x:c r="F14" s="39">
        <x:v>6000</x:v>
      </x:c>
      <x:c r="G14" s="39">
        <x:f>E14*F14</x:f>
      </x:c>
      <x:c r="H14" s="37" t="s">
        <x:v>38</x:v>
      </x:c>
    </x:row>
    <x:row r="15">
      <x:c r="A15" s="36">
        <x:v>6</x:v>
      </x:c>
      <x:c r="B15" s="37" t="s">
        <x:v>39</x:v>
      </x:c>
      <x:c r="C15" s="37" t="s">
        <x:v>40</x:v>
      </x:c>
      <x:c r="D15" s="38" t="s">
        <x:v>41</x:v>
      </x:c>
      <x:c r="E15" s="38">
        <x:v>12</x:v>
      </x:c>
      <x:c r="F15" s="39">
        <x:v>4500</x:v>
      </x:c>
      <x:c r="G15" s="39">
        <x:f>E15*F15</x:f>
      </x:c>
      <x:c r="H15" s="37" t="s">
        <x:v>42</x:v>
      </x:c>
    </x:row>
    <x:row r="16">
      <x:c r="F16" s="27" t="s">
        <x:v>43</x:v>
      </x:c>
      <x:c r="G16" s="39">
        <x:f>SUM(G10:G15)</x:f>
      </x:c>
    </x:row>
    <x:row r="17">
      <x:c r="F17" s="27" t="s">
        <x:v>44</x:v>
      </x:c>
      <x:c r="G17" s="39">
        <x:f>-G16*0.05</x:f>
      </x:c>
    </x:row>
    <x:row r="18">
      <x:c r="F18" s="27" t="s">
        <x:v>45</x:v>
      </x:c>
      <x:c r="G18" s="39">
        <x:f>G16+G17</x:f>
      </x:c>
    </x:row>
    <x:row r="19">
      <x:c r="F19" s="27" t="s">
        <x:v>46</x:v>
      </x:c>
      <x:c r="G19" s="39">
        <x:f>ROUND(G18*0.13,2)</x:f>
      </x:c>
    </x:row>
    <x:row r="20">
      <x:c r="F20" s="28" t="s">
        <x:v>47</x:v>
      </x:c>
      <x:c r="G20" s="41">
        <x:f>G18+G19</x:f>
      </x:c>
    </x:row>
    <x:row r="22">
      <x:c r="A22" s="23" t="s">
        <x:v>48</x:v>
      </x:c>
    </x:row>
    <x:row r="23">
      <x:c r="A23" s="42" t="s">
        <x:v>49</x:v>
      </x:c>
      <x:c r="B23" s="42"/>
      <x:c r="C23" s="42"/>
      <x:c r="D23" s="42"/>
      <x:c r="E23" s="42"/>
      <x:c r="F23" s="42"/>
      <x:c r="G23" s="42"/>
      <x:c r="H23" s="42"/>
    </x:row>
    <x:row r="24">
      <x:c r="A24" s="42" t="s">
        <x:v>50</x:v>
      </x:c>
      <x:c r="B24" s="42"/>
      <x:c r="C24" s="42"/>
      <x:c r="D24" s="42"/>
      <x:c r="E24" s="42"/>
      <x:c r="F24" s="42"/>
      <x:c r="G24" s="42"/>
      <x:c r="H24" s="42"/>
    </x:row>
    <x:row r="25">
      <x:c r="A25" s="42" t="s">
        <x:v>51</x:v>
      </x:c>
      <x:c r="B25" s="42"/>
      <x:c r="C25" s="42"/>
      <x:c r="D25" s="42"/>
      <x:c r="E25" s="42"/>
      <x:c r="F25" s="42"/>
      <x:c r="G25" s="42"/>
      <x:c r="H25" s="42"/>
    </x:row>
    <x:row r="27">
      <x:c r="A27" t="s">
        <x:v>52</x:v>
      </x:c>
      <x:c r="B27"/>
      <x:c r="C27"/>
      <x:c r="D27"/>
      <x:c r="E27" t="s">
        <x:v>53</x:v>
      </x:c>
      <x:c r="F27"/>
      <x:c r="G27"/>
      <x:c r="H27"/>
    </x:row>
  </x:sheetData>
  <x:mergeCells count="18">
    <x:mergeCell ref="A1:D1"/>
    <x:mergeCell ref="A2:D2"/>
    <x:mergeCell ref="E1:H1"/>
    <x:mergeCell ref="E2:F2"/>
    <x:mergeCell ref="G2:H2"/>
    <x:mergeCell ref="E3:F3"/>
    <x:mergeCell ref="G3:H3"/>
    <x:mergeCell ref="E4:F4"/>
    <x:mergeCell ref="G4:H4"/>
    <x:mergeCell ref="B6:D6"/>
    <x:mergeCell ref="F6:H6"/>
    <x:mergeCell ref="B7:D7"/>
    <x:mergeCell ref="F7:H7"/>
    <x:mergeCell ref="A23:H23"/>
    <x:mergeCell ref="A24:H24"/>
    <x:mergeCell ref="A25:H25"/>
    <x:mergeCell ref="A27:D27"/>
    <x:mergeCell ref="E27:H27"/>
  </x:mergeCells>
</x:worksheet>
</file>