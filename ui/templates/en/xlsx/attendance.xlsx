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a64739583c47d6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eptember" sheetId="1" r:id="Rbb0e6e16087448f2"/>
  </x:sheets>
  <x:calcPr calcId="0" fullCalcOnLoad="1"/>
</x:workbook>
</file>

<file path=xl/sharedStrings.xml><?xml version="1.0" encoding="utf-8"?>
<x:sst xmlns:x="http://schemas.openxmlformats.org/spreadsheetml/2006/main" count="360" uniqueCount="360">
  <x:si>
    <x:t xml:space="preserve">Attendance · September 2026</x:t>
  </x:si>
  <x:si>
    <x:t xml:space="preserve">ID</x:t>
  </x:si>
  <x:si>
    <x:t xml:space="preserve">Name</x:t>
  </x:si>
  <x:si>
    <x:t xml:space="preserve">Team</x:t>
  </x:si>
  <x:si>
    <x:t xml:space="preserve">Tu</x:t>
  </x:si>
  <x:si>
    <x:t xml:space="preserve">We</x:t>
  </x:si>
  <x:si>
    <x:t xml:space="preserve">Th</x:t>
  </x:si>
  <x:si>
    <x:t xml:space="preserve">Fr</x:t>
  </x:si>
  <x:si>
    <x:t xml:space="preserve">Sa</x:t>
  </x:si>
  <x:si>
    <x:t xml:space="preserve">Su</x:t>
  </x:si>
  <x:si>
    <x:t xml:space="preserve">Mo</x:t>
  </x:si>
  <x:si>
    <x:t xml:space="preserve">Tu</x:t>
  </x:si>
  <x:si>
    <x:t xml:space="preserve">We</x:t>
  </x:si>
  <x:si>
    <x:t xml:space="preserve">Th</x:t>
  </x:si>
  <x:si>
    <x:t xml:space="preserve">Fr</x:t>
  </x:si>
  <x:si>
    <x:t xml:space="preserve">Sa</x:t>
  </x:si>
  <x:si>
    <x:t xml:space="preserve">Su</x:t>
  </x:si>
  <x:si>
    <x:t xml:space="preserve">Mo</x:t>
  </x:si>
  <x:si>
    <x:t xml:space="preserve">Tu</x:t>
  </x:si>
  <x:si>
    <x:t xml:space="preserve">We</x:t>
  </x:si>
  <x:si>
    <x:t xml:space="preserve">Th</x:t>
  </x:si>
  <x:si>
    <x:t xml:space="preserve">Fr</x:t>
  </x:si>
  <x:si>
    <x:t xml:space="preserve">Sa</x:t>
  </x:si>
  <x:si>
    <x:t xml:space="preserve">Su</x:t>
  </x:si>
  <x:si>
    <x:t xml:space="preserve">Mo</x:t>
  </x:si>
  <x:si>
    <x:t xml:space="preserve">Tu</x:t>
  </x:si>
  <x:si>
    <x:t xml:space="preserve">We</x:t>
  </x:si>
  <x:si>
    <x:t xml:space="preserve">Th</x:t>
  </x:si>
  <x:si>
    <x:t xml:space="preserve">Fr</x:t>
  </x:si>
  <x:si>
    <x:t xml:space="preserve">Sa</x:t>
  </x:si>
  <x:si>
    <x:t xml:space="preserve">Su</x:t>
  </x:si>
  <x:si>
    <x:t xml:space="preserve">Mo</x:t>
  </x:si>
  <x:si>
    <x:t xml:space="preserve">Tu</x:t>
  </x:si>
  <x:si>
    <x:t xml:space="preserve">We</x:t>
  </x:si>
  <x:si>
    <x:t xml:space="preserve">Present</x:t>
  </x:si>
  <x:si>
    <x:t xml:space="preserve">Leave</x:t>
  </x:si>
  <x:si>
    <x:t xml:space="preserve">Late</x:t>
  </x:si>
  <x:si>
    <x:t xml:space="preserve">Absent</x:t>
  </x:si>
  <x:si>
    <x:t xml:space="preserve">Alex Chen</x:t>
  </x:si>
  <x:si>
    <x:t xml:space="preserve">Marketing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</x:si>
  <x:si>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</x:si>
  <x:si>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</x:si>
  <x:si>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</x:si>
  <x:si>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</x:si>
  <x:si>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</x:si>
  <x:si>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</x:si>
  <x:si>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</x:si>
  <x:si>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</x:si>
  <x:si>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</x:si>
  <x:si>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</x:si>
  <x:si>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L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</x:si>
  <x:si>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</x:si>
  <x:si>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</x:si>
  <x:si>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</x:si>
  <x:si>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</x:si>
  <x:si>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</x:si>
  <x:si>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</x:si>
  <x:si>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</x:si>
  <x:si>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</x:si>
  <x:si>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</x:si>
  <x:si>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</x:si>
  <x:si>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</x:si>
  <x:si>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LT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</x:si>
  <x:si>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</x:si>
  <x:si>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</x:si>
  <x:si>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</x:si>
  <x:si>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</x:si>
  <x:si>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</x:si>
  <x:si>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</x:si>
  <x:si>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</x:si>
  <x:si>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Jordan Lee</x:t>
  </x:si>
  <x:si>
    <x:t xml:space="preserve">Product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</x:si>
  <x:si>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</x:si>
  <x:si>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</x:si>
  <x:si>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</x:si>
  <x:si>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</x:si>
  <x:si>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</x:si>
  <x:si>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</x:si>
  <x:si>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</x:si>
  <x:si>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</x:si>
  <x:si>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</x:si>
  <x:si>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</x:si>
  <x:si>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LT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</x:si>
  <x:si>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</x:si>
  <x:si>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</x:si>
  <x:si>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</x:si>
  <x:si>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</x:si>
  <x:si>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</x:si>
  <x:si>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</x:si>
  <x:si>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</x:si>
  <x:si>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</x:si>
  <x:si>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</x:si>
  <x:si>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</x:si>
  <x:si>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</x:si>
  <x:si>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</x:si>
  <x:si>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</x:si>
  <x:si>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</x:si>
  <x:si>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</x:si>
  <x:si>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</x:si>
  <x:si>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L</x:t>
  </x:si>
  <x:si>
    <x:t xml:space="preserve">P</x:t>
  </x:si>
  <x:si>
    <x:t xml:space="preserve">P</x:t>
  </x:si>
  <x:si>
    <x:t xml:space="preserve">Sam Taylor</x:t>
  </x:si>
  <x:si>
    <x:t xml:space="preserve">Engineering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</x:si>
  <x:si>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</x:si>
  <x:si>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</x:si>
  <x:si>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</x:si>
  <x:si>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</x:si>
  <x:si>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</x:si>
  <x:si>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</x:si>
  <x:si>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</x:si>
  <x:si>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</x:si>
  <x:si>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</x:si>
  <x:si>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</x:si>
  <x:si>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</x:si>
  <x:si>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</x:si>
  <x:si>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</x:si>
  <x:si>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</x:si>
  <x:si>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</x:si>
  <x:si>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L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</x:si>
  <x:si>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</x:si>
  <x:si>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</x:si>
  <x:si>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</x:si>
  <x:si>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</x:si>
  <x:si>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</x:si>
  <x:si>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</x:si>
  <x:si>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</x:si>
  <x:si>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</x:si>
  <x:si>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</x:si>
  <x:si>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</x:si>
  <x:si>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</x:si>
  <x:si>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LT</x:t>
  </x:si>
  <x:si>
    <x:t xml:space="preserve">P</x:t>
  </x:si>
  <x:si>
    <x:t xml:space="preserve">P</x:t>
  </x:si>
  <x:si>
    <x:t xml:space="preserve">Morgan Reed</x:t>
  </x:si>
  <x:si>
    <x:t xml:space="preserve">Admin</x:t>
  </x:si>
  <x:si>
    <x:t xml:space="preserve">P</x:t>
  </x:si>
  <x:si>
    <x:t xml:space="preserve">P</x:t>
  </x:si>
  <x:si>
    <x:t xml:space="preserve">P</x:t>
  </x:si>
  <x:si>
    <x:t xml:space="preserve">L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</x:si>
  <x:si>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</x:si>
  <x:si>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</x:si>
  <x:si>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</x:si>
  <x:si>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</x:si>
  <x:si>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</x:si>
  <x:si>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</x:si>
  <x:si>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</x:si>
  <x:si>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</x:si>
  <x:si>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</x:si>
  <x:si>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</x:si>
  <x:si>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</x:si>
  <x:si>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LT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</x:si>
  <x:si>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</x:si>
  <x:si>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</x:si>
  <x:si>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</x:si>
  <x:si>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</x:si>
  <x:si>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</x:si>
  <x:si>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</x:si>
  <x:si>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</x:si>
  <x:si>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</x:si>
  <x:si>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</x:si>
  <x:si>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</x:si>
  <x:si>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</x:si>
  <x:si>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</x:si>
  <x:si>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</x:si>
  <x:si>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</x:si>
  <x:si>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Casey Kim</x:t>
  </x:si>
  <x:si>
    <x:t xml:space="preserve">Finance</x:t>
  </x:si>
  <x:si>
    <x:t xml:space="preserve">P</x:t>
  </x:si>
  <x:si>
    <x:t xml:space="preserve">P</x:t>
  </x:si>
  <x:si>
    <x:t xml:space="preserve">P</x:t>
  </x:si>
  <x:si>
    <x:t xml:space="preserve">LT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</x:si>
  <x:si>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</x:si>
  <x:si>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</x:si>
  <x:si>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</x:si>
  <x:si>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</x:si>
  <x:si>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</x:si>
  <x:si>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</x:si>
  <x:si>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</x:si>
  <x:si>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</x:si>
  <x:si>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</x:si>
  <x:si>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</x:si>
  <x:si>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</x:si>
  <x:si>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</x:si>
  <x:si>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</x:si>
  <x:si>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</x:si>
  <x:si>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</x:si>
  <x:si>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</x:si>
  <x:si>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L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</x:si>
  <x:si>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</x:si>
  <x:si>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</x:si>
  <x:si>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</x:si>
  <x:si>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</x:si>
  <x:si>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</x:si>
  <x:si>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</x:si>
  <x:si>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</x:si>
  <x:si>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</x:si>
  <x:si>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</x:si>
  <x:si>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Riley Park</x:t>
  </x:si>
  <x:si>
    <x:t xml:space="preserve">Marketing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</x:si>
  <x:si>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</x:si>
  <x:si>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</x:si>
  <x:si>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</x:si>
  <x:si>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</x:si>
  <x:si>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</x:si>
  <x:si>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</x:si>
  <x:si>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</x:si>
  <x:si>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</x:si>
  <x:si>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L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</x:si>
  <x:si>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</x:si>
  <x:si>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</x:si>
  <x:si>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</x:si>
  <x:si>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</x:si>
  <x:si>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</x:si>
  <x:si>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</x:si>
  <x:si>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</x:si>
  <x:si>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</x:si>
  <x:si>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</x:si>
  <x:si>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</x:si>
  <x:si>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</x:si>
  <x:si>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LT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</x:si>
  <x:si>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</x:si>
  <x:si>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</x:si>
  <x:si>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</x:si>
  <x:si>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</x:si>
  <x:si>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</x:si>
  <x:si>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</x:si>
  <x:si>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</x:si>
  <x:si>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</x:si>
  <x:si>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</x:si>
  <x:si>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Taylor Brooks</x:t>
  </x:si>
  <x:si>
    <x:t xml:space="preserve">Product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</x:si>
  <x:si>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</x:si>
  <x:si>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</x:si>
  <x:si>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</x:si>
  <x:si>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</x:si>
  <x:si>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</x:si>
  <x:si>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</x:si>
  <x:si>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</x:si>
  <x:si>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</x:si>
  <x:si>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LT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</x:si>
  <x:si>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</x:si>
  <x:si>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</x:si>
  <x:si>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</x:si>
  <x:si>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</x:si>
  <x:si>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</x:si>
  <x:si>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</x:si>
  <x:si>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</x:si>
  <x:si>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</x:si>
  <x:si>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</x:si>
  <x:si>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</x:si>
  <x:si>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</x:si>
  <x:si>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</x:si>
  <x:si>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</x:si>
  <x:si>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</x:si>
  <x:si>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</x:si>
  <x:si>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</x:si>
  <x:si>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</x:si>
  <x:si>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</x:si>
  <x:si>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</x:si>
  <x:si>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</x:si>
  <x:si>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</x:si>
  <x:si>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Jamie Cruz</x:t>
  </x:si>
  <x:si>
    <x:t xml:space="preserve">Engineering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</x:si>
  <x:si>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</x:si>
  <x:si>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</x:si>
  <x:si>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</x:si>
  <x:si>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</x:si>
  <x:si>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</x:si>
  <x:si>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</x:si>
  <x:si>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</x:si>
  <x:si>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</x:si>
  <x:si>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</x:si>
  <x:si>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</x:si>
  <x:si>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</x:si>
  <x:si>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</x:si>
  <x:si>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</x:si>
  <x:si>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L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</x:si>
  <x:si>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</x:si>
  <x:si>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</x:si>
  <x:si>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</x:si>
  <x:si>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</x:si>
  <x:si>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</x:si>
  <x:si>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</x:si>
  <x:si>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</x:si>
  <x:si>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</x:si>
  <x:si>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</x:si>
  <x:si>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</x:si>
  <x:si>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</x:si>
  <x:si>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</x:si>
  <x:si>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</x:si>
  <x:si>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</x:si>
  <x:si>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</x:si>
  <x:si>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</x:si>
  <x:si>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Dana Wells</x:t>
  </x:si>
  <x:si>
    <x:t xml:space="preserve">Admin</x:t>
  </x:si>
  <x:si>
    <x:t xml:space="preserve">P</x:t>
  </x:si>
  <x:si>
    <x:t xml:space="preserve">L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</x:si>
  <x:si>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</x:si>
  <x:si>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</x:si>
  <x:si>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</x:si>
  <x:si>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</x:si>
  <x:si>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</x:si>
  <x:si>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</x:si>
  <x:si>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</x:si>
  <x:si>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</x:si>
  <x:si>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</x:si>
  <x:si>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</x:si>
  <x:si>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</x:si>
  <x:si>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LT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</x:si>
  <x:si>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</x:si>
  <x:si>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</x:si>
  <x:si>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</x:si>
  <x:si>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</x:si>
  <x:si>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</x:si>
  <x:si>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</x:si>
  <x:si>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</x:si>
  <x:si>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</x:si>
  <x:si>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</x:si>
  <x:si>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</x:si>
  <x:si>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</x:si>
  <x:si>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</x:si>
  <x:si>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</x:si>
  <x:si>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</x:si>
  <x:si>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</x:si>
  <x:si>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</x:si>
  <x:si>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Avery Stone</x:t>
  </x:si>
  <x:si>
    <x:t xml:space="preserve">Finance</x:t>
  </x:si>
  <x:si>
    <x:t xml:space="preserve">P</x:t>
  </x:si>
  <x:si>
    <x:t xml:space="preserve">LT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</x:si>
  <x:si>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</x:si>
  <x:si>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</x:si>
  <x:si>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</x:si>
  <x:si>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</x:si>
  <x:si>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</x:si>
  <x:si>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</x:si>
  <x:si>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</x:si>
  <x:si>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</x:si>
  <x:si>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</x:si>
  <x:si>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</x:si>
  <x:si>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</x:si>
  <x:si>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</x:si>
  <x:si>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</x:si>
  <x:si>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</x:si>
  <x:si>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</x:si>
  <x:si>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</x:si>
  <x:si>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</x:si>
  <x:si>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</x:si>
  <x:si>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</x:si>
  <x:si>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</x:si>
  <x:si>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</x:si>
  <x:si>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</x:si>
  <x:si>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P</x:t>
  </x:si>
  <x:si>
    <x:t xml:space="preserve">W</x:t>
  </x:si>
  <x:si>
    <x:t xml:space="preserve">W</x:t>
  </x:si>
  <x:si>
    <x:t xml:space="preserve">P</x:t>
  </x:si>
  <x:si>
    <x:t xml:space="preserve">P</x:t>
  </x:si>
  <x:si>
    <x:t xml:space="preserve">P</x:t>
  </x:si>
  <x:si>
    <x:t xml:space="preserve">Total</x:t>
  </x:si>
  <x:si>
    <x:t xml:space="preserve">P present · W weekend · L leave · LT late · A absent. Days present include late days.</x:t>
  </x:si>
</x:sst>
</file>

<file path=xl/styles.xml><?xml version="1.0" encoding="utf-8"?>
<x:styleSheet xmlns:x="http://schemas.openxmlformats.org/spreadsheetml/2006/main">
  <x:fonts count="7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b/>
      <x:sz val="16"/>
      <x:color rgb="FF000000"/>
      <x:name val="Calibri"/>
      <x:family val="2"/>
    </x:font>
    <x:font>
      <x:b/>
      <x:sz val="16"/>
      <x:color rgb="FF1F3A5F"/>
      <x:name val="Calibri"/>
      <x:family val="2"/>
    </x:font>
    <x:font>
      <x:b/>
      <x:sz val="11"/>
      <x:color rgb="FFFFFFFF"/>
      <x:name val="Calibri"/>
      <x:family val="2"/>
    </x:font>
    <x:font>
      <x:sz val="11"/>
      <x:color rgb="FF5E6B7A"/>
      <x:name val="Calibri"/>
      <x:family val="2"/>
    </x:font>
    <x:font>
      <x:sz val="10"/>
      <x:color rgb="FF5E6B7A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F3A5F"/>
        <x:bgColor indexed="64"/>
      </x:patternFill>
    </x:fill>
    <x:fill>
      <x:patternFill patternType="solid">
        <x:fgColor rgb="FFEEF2F7"/>
        <x:bgColor indexed="64"/>
      </x:patternFill>
    </x:fill>
    <x:fill>
      <x:patternFill patternType="solid">
        <x:fgColor rgb="FFF2F2F4"/>
        <x:bgColor indexed="64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>
        <x:color rgb="FFC9D3E0"/>
      </x:left>
      <x:right style="thin">
        <x:color rgb="FFC9D3E0"/>
      </x:right>
      <x:top style="thin">
        <x:color rgb="FFC9D3E0"/>
      </x:top>
      <x:bottom style="thin">
        <x:color rgb="FFC9D3E0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1" fillId="2" borderId="0" xfId="0" applyFont="1" applyFill="1"/>
    <x:xf numFmtId="0" fontId="4" fillId="2" borderId="0" xfId="0" applyFont="1" applyFill="1"/>
    <x:xf numFmtId="0" fontId="4" fillId="2" borderId="0" xfId="0" applyFont="1" applyFill="1" applyAlignment="1">
      <x:alignment horizontal="center"/>
    </x:xf>
    <x:xf numFmtId="0" fontId="4" fillId="2" borderId="0" xfId="0" applyFont="1" applyFill="1" applyAlignment="1">
      <x:alignment horizontal="center" vertical="center"/>
    </x:xf>
    <x:xf numFmtId="0" fontId="1" fillId="3" borderId="0" xfId="0" applyFont="1" applyFill="1"/>
    <x:xf numFmtId="0" fontId="0" fillId="0" borderId="0" xfId="0" applyAlignment="1">
      <x:alignment horizontal="center"/>
    </x:xf>
    <x:xf numFmtId="0" fontId="1" fillId="3" borderId="0" xfId="0" applyFont="1" applyFill="1" applyAlignment="1">
      <x:alignment horizontal="center"/>
    </x:xf>
    <x:xf numFmtId="0" fontId="0" fillId="0" borderId="1" xfId="0" applyBorder="1"/>
    <x:xf numFmtId="0" fontId="0" fillId="0" borderId="1" xfId="0" applyBorder="1" applyAlignment="1">
      <x:alignment horizontal="center"/>
    </x:xf>
    <x:xf numFmtId="0" fontId="1" fillId="3" borderId="1" xfId="0" applyFont="1" applyFill="1" applyBorder="1"/>
    <x:xf numFmtId="0" fontId="1" fillId="3" borderId="1" xfId="0" applyFont="1" applyFill="1" applyBorder="1" applyAlignment="1">
      <x:alignment horizontal="center"/>
    </x:xf>
    <x:xf numFmtId="0" fontId="0" fillId="0" borderId="2" xfId="0" applyBorder="1"/>
    <x:xf numFmtId="0" fontId="0" fillId="0" borderId="2" xfId="0" applyBorder="1" applyAlignment="1">
      <x:alignment horizontal="center"/>
    </x:xf>
    <x:xf numFmtId="0" fontId="1" fillId="3" borderId="2" xfId="0" applyFont="1" applyFill="1" applyBorder="1"/>
    <x:xf numFmtId="0" fontId="1" fillId="3" borderId="2" xfId="0" applyFont="1" applyFill="1" applyBorder="1" applyAlignment="1">
      <x:alignment horizontal="center"/>
    </x:xf>
    <x:xf numFmtId="0" fontId="0" fillId="4" borderId="2" xfId="0" applyFill="1" applyBorder="1" applyAlignment="1">
      <x:alignment horizontal="center"/>
    </x:xf>
    <x:xf numFmtId="0" fontId="5" fillId="4" borderId="2" xfId="0" applyFont="1" applyFill="1" applyBorder="1" applyAlignment="1">
      <x:alignment horizontal="center"/>
    </x:xf>
    <x:xf numFmtId="0" fontId="5" fillId="0" borderId="0" xfId="0" applyFont="1"/>
    <x:xf numFmtId="0" fontId="6" fillId="0" borderId="0" xf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0e6e16087448f2" /><Relationship Type="http://schemas.openxmlformats.org/officeDocument/2006/relationships/styles" Target="/xl/styles.xml" Id="R2e3628a1821f44ad" /><Relationship Type="http://schemas.openxmlformats.org/officeDocument/2006/relationships/sharedStrings" Target="/xl/sharedStrings.xml" Id="R0c9e1ad9d5284b13" /></Relationships>
</file>

<file path=xl/worksheets/sheet1.xml><?xml version="1.0" encoding="utf-8"?>
<x:worksheet xmlns:x="http://schemas.openxmlformats.org/spreadsheetml/2006/main">
  <x:sheetViews>
    <x:sheetView workbookViewId="0">
      <x:pane xSplit="3" ySplit="4" topLeftCell="D5" activePane="bottomRight" state="frozen"/>
    </x:sheetView>
  </x:sheetViews>
  <x:cols>
    <x:col min="1" max="1" width="7" customWidth="1"/>
    <x:col min="2" max="2" width="10" customWidth="1"/>
    <x:col min="3" max="3" width="10" customWidth="1"/>
    <x:col min="4" max="4" width="3.6" customWidth="1"/>
    <x:col min="5" max="5" width="3.6" customWidth="1"/>
    <x:col min="6" max="6" width="3.6" customWidth="1"/>
    <x:col min="7" max="7" width="3.6" customWidth="1"/>
    <x:col min="8" max="8" width="3.6" customWidth="1"/>
    <x:col min="9" max="9" width="3.6" customWidth="1"/>
    <x:col min="10" max="10" width="3.6" customWidth="1"/>
    <x:col min="11" max="11" width="3.6" customWidth="1"/>
    <x:col min="12" max="12" width="3.6" customWidth="1"/>
    <x:col min="13" max="13" width="3.6" customWidth="1"/>
    <x:col min="14" max="14" width="3.6" customWidth="1"/>
    <x:col min="15" max="15" width="3.6" customWidth="1"/>
    <x:col min="16" max="16" width="3.6" customWidth="1"/>
    <x:col min="17" max="17" width="3.6" customWidth="1"/>
    <x:col min="18" max="18" width="3.6" customWidth="1"/>
    <x:col min="19" max="19" width="3.6" customWidth="1"/>
    <x:col min="20" max="20" width="3.6" customWidth="1"/>
    <x:col min="21" max="21" width="3.6" customWidth="1"/>
    <x:col min="22" max="22" width="3.6" customWidth="1"/>
    <x:col min="23" max="23" width="3.6" customWidth="1"/>
    <x:col min="24" max="24" width="3.6" customWidth="1"/>
    <x:col min="25" max="25" width="3.6" customWidth="1"/>
    <x:col min="26" max="26" width="3.6" customWidth="1"/>
    <x:col min="27" max="27" width="3.6" customWidth="1"/>
    <x:col min="28" max="28" width="3.6" customWidth="1"/>
    <x:col min="29" max="29" width="3.6" customWidth="1"/>
    <x:col min="30" max="30" width="3.6" customWidth="1"/>
    <x:col min="31" max="31" width="3.6" customWidth="1"/>
    <x:col min="32" max="32" width="3.6" customWidth="1"/>
    <x:col min="33" max="33" width="3.6" customWidth="1"/>
    <x:col min="34" max="34" width="7" customWidth="1"/>
    <x:col min="35" max="35" width="7" customWidth="1"/>
    <x:col min="36" max="36" width="7" customWidth="1"/>
    <x:col min="37" max="37" width="7" customWidth="1"/>
  </x:cols>
  <x:sheetData>
    <x:row r="1" ht="30" customHeight="1">
      <x:c r="A1" s="3" t="s">
        <x:v>0</x:v>
      </x:c>
    </x:row>
    <x:row r="3" ht="20" customHeight="1">
      <x:c r="A3" s="7" t="s">
        <x:v>1</x:v>
      </x:c>
      <x:c r="B3" s="7" t="s">
        <x:v>2</x:v>
      </x:c>
      <x:c r="C3" s="7" t="s">
        <x:v>3</x:v>
      </x:c>
      <x:c r="D3" s="7">
        <x:v>1</x:v>
      </x:c>
      <x:c r="E3" s="7">
        <x:v>2</x:v>
      </x:c>
      <x:c r="F3" s="7">
        <x:v>3</x:v>
      </x:c>
      <x:c r="G3" s="7">
        <x:v>4</x:v>
      </x:c>
      <x:c r="H3" s="7">
        <x:v>5</x:v>
      </x:c>
      <x:c r="I3" s="7">
        <x:v>6</x:v>
      </x:c>
      <x:c r="J3" s="7">
        <x:v>7</x:v>
      </x:c>
      <x:c r="K3" s="7">
        <x:v>8</x:v>
      </x:c>
      <x:c r="L3" s="7">
        <x:v>9</x:v>
      </x:c>
      <x:c r="M3" s="7">
        <x:v>10</x:v>
      </x:c>
      <x:c r="N3" s="7">
        <x:v>11</x:v>
      </x:c>
      <x:c r="O3" s="7">
        <x:v>12</x:v>
      </x:c>
      <x:c r="P3" s="7">
        <x:v>13</x:v>
      </x:c>
      <x:c r="Q3" s="7">
        <x:v>14</x:v>
      </x:c>
      <x:c r="R3" s="7">
        <x:v>15</x:v>
      </x:c>
      <x:c r="S3" s="7">
        <x:v>16</x:v>
      </x:c>
      <x:c r="T3" s="7">
        <x:v>17</x:v>
      </x:c>
      <x:c r="U3" s="7">
        <x:v>18</x:v>
      </x:c>
      <x:c r="V3" s="7">
        <x:v>19</x:v>
      </x:c>
      <x:c r="W3" s="7">
        <x:v>20</x:v>
      </x:c>
      <x:c r="X3" s="7">
        <x:v>21</x:v>
      </x:c>
      <x:c r="Y3" s="7">
        <x:v>22</x:v>
      </x:c>
      <x:c r="Z3" s="7">
        <x:v>23</x:v>
      </x:c>
      <x:c r="AA3" s="7">
        <x:v>24</x:v>
      </x:c>
      <x:c r="AB3" s="7">
        <x:v>25</x:v>
      </x:c>
      <x:c r="AC3" s="7">
        <x:v>26</x:v>
      </x:c>
      <x:c r="AD3" s="7">
        <x:v>27</x:v>
      </x:c>
      <x:c r="AE3" s="7">
        <x:v>28</x:v>
      </x:c>
      <x:c r="AF3" s="7">
        <x:v>29</x:v>
      </x:c>
      <x:c r="AG3" s="7">
        <x:v>30</x:v>
      </x:c>
      <x:c r="AH3" s="7" t="s">
        <x:v>34</x:v>
      </x:c>
      <x:c r="AI3" s="7" t="s">
        <x:v>35</x:v>
      </x:c>
      <x:c r="AJ3" s="7" t="s">
        <x:v>36</x:v>
      </x:c>
      <x:c r="AK3" s="7" t="s">
        <x:v>37</x:v>
      </x:c>
    </x:row>
    <x:row r="4" ht="20" customHeight="1">
      <x:c r="A4" s="7"/>
      <x:c r="B4" s="7"/>
      <x:c r="C4" s="7"/>
      <x:c r="D4" s="7" t="s">
        <x:v>4</x:v>
      </x:c>
      <x:c r="E4" s="7" t="s">
        <x:v>5</x:v>
      </x:c>
      <x:c r="F4" s="7" t="s">
        <x:v>6</x:v>
      </x:c>
      <x:c r="G4" s="7" t="s">
        <x:v>7</x:v>
      </x:c>
      <x:c r="H4" s="7" t="s">
        <x:v>8</x:v>
      </x:c>
      <x:c r="I4" s="7" t="s">
        <x:v>9</x:v>
      </x:c>
      <x:c r="J4" s="7" t="s">
        <x:v>10</x:v>
      </x:c>
      <x:c r="K4" s="7" t="s">
        <x:v>11</x:v>
      </x:c>
      <x:c r="L4" s="7" t="s">
        <x:v>12</x:v>
      </x:c>
      <x:c r="M4" s="7" t="s">
        <x:v>13</x:v>
      </x:c>
      <x:c r="N4" s="7" t="s">
        <x:v>14</x:v>
      </x:c>
      <x:c r="O4" s="7" t="s">
        <x:v>15</x:v>
      </x:c>
      <x:c r="P4" s="7" t="s">
        <x:v>16</x:v>
      </x:c>
      <x:c r="Q4" s="7" t="s">
        <x:v>17</x:v>
      </x:c>
      <x:c r="R4" s="7" t="s">
        <x:v>18</x:v>
      </x:c>
      <x:c r="S4" s="7" t="s">
        <x:v>19</x:v>
      </x:c>
      <x:c r="T4" s="7" t="s">
        <x:v>20</x:v>
      </x:c>
      <x:c r="U4" s="7" t="s">
        <x:v>21</x:v>
      </x:c>
      <x:c r="V4" s="7" t="s">
        <x:v>22</x:v>
      </x:c>
      <x:c r="W4" s="7" t="s">
        <x:v>23</x:v>
      </x:c>
      <x:c r="X4" s="7" t="s">
        <x:v>24</x:v>
      </x:c>
      <x:c r="Y4" s="7" t="s">
        <x:v>25</x:v>
      </x:c>
      <x:c r="Z4" s="7" t="s">
        <x:v>26</x:v>
      </x:c>
      <x:c r="AA4" s="7" t="s">
        <x:v>27</x:v>
      </x:c>
      <x:c r="AB4" s="7" t="s">
        <x:v>28</x:v>
      </x:c>
      <x:c r="AC4" s="7" t="s">
        <x:v>29</x:v>
      </x:c>
      <x:c r="AD4" s="7" t="s">
        <x:v>30</x:v>
      </x:c>
      <x:c r="AE4" s="7" t="s">
        <x:v>31</x:v>
      </x:c>
      <x:c r="AF4" s="7" t="s">
        <x:v>32</x:v>
      </x:c>
      <x:c r="AG4" s="7" t="s">
        <x:v>33</x:v>
      </x:c>
      <x:c r="AH4" s="7"/>
      <x:c r="AI4" s="7"/>
      <x:c r="AJ4" s="7"/>
      <x:c r="AK4" s="7"/>
    </x:row>
    <x:row r="5">
      <x:c r="A5" s="15">
        <x:v>1001</x:v>
      </x:c>
      <x:c r="B5" s="15" t="s">
        <x:v>38</x:v>
      </x:c>
      <x:c r="C5" s="15" t="s">
        <x:v>39</x:v>
      </x:c>
      <x:c r="D5" s="16" t="s">
        <x:v>40</x:v>
      </x:c>
      <x:c r="E5" s="16" t="s">
        <x:v>41</x:v>
      </x:c>
      <x:c r="F5" s="16" t="s">
        <x:v>42</x:v>
      </x:c>
      <x:c r="G5" s="16" t="s">
        <x:v>43</x:v>
      </x:c>
      <x:c r="H5" s="20" t="s">
        <x:v>44</x:v>
      </x:c>
      <x:c r="I5" s="20" t="s">
        <x:v>45</x:v>
      </x:c>
      <x:c r="J5" s="16" t="s">
        <x:v>46</x:v>
      </x:c>
      <x:c r="K5" s="16" t="s">
        <x:v>47</x:v>
      </x:c>
      <x:c r="L5" s="16" t="s">
        <x:v>48</x:v>
      </x:c>
      <x:c r="M5" s="16" t="s">
        <x:v>49</x:v>
      </x:c>
      <x:c r="N5" s="16" t="s">
        <x:v>50</x:v>
      </x:c>
      <x:c r="O5" s="20" t="s">
        <x:v>51</x:v>
      </x:c>
      <x:c r="P5" s="20" t="s">
        <x:v>52</x:v>
      </x:c>
      <x:c r="Q5" s="16" t="s">
        <x:v>53</x:v>
      </x:c>
      <x:c r="R5" s="16" t="s">
        <x:v>54</x:v>
      </x:c>
      <x:c r="S5" s="16" t="s">
        <x:v>55</x:v>
      </x:c>
      <x:c r="T5" s="16" t="s">
        <x:v>56</x:v>
      </x:c>
      <x:c r="U5" s="16" t="s">
        <x:v>57</x:v>
      </x:c>
      <x:c r="V5" s="20" t="s">
        <x:v>58</x:v>
      </x:c>
      <x:c r="W5" s="20" t="s">
        <x:v>59</x:v>
      </x:c>
      <x:c r="X5" s="16" t="s">
        <x:v>60</x:v>
      </x:c>
      <x:c r="Y5" s="16" t="s">
        <x:v>61</x:v>
      </x:c>
      <x:c r="Z5" s="16" t="s">
        <x:v>62</x:v>
      </x:c>
      <x:c r="AA5" s="16" t="s">
        <x:v>63</x:v>
      </x:c>
      <x:c r="AB5" s="16" t="s">
        <x:v>64</x:v>
      </x:c>
      <x:c r="AC5" s="20" t="s">
        <x:v>65</x:v>
      </x:c>
      <x:c r="AD5" s="20" t="s">
        <x:v>66</x:v>
      </x:c>
      <x:c r="AE5" s="16" t="s">
        <x:v>67</x:v>
      </x:c>
      <x:c r="AF5" s="16" t="s">
        <x:v>68</x:v>
      </x:c>
      <x:c r="AG5" s="16" t="s">
        <x:v>69</x:v>
      </x:c>
      <x:c r="AH5" s="16">
        <x:f>COUNTIF(D5:AG5,"P")+COUNTIF(D5:AG5,"LT")</x:f>
      </x:c>
      <x:c r="AI5" s="16">
        <x:f>COUNTIF(D5:AG5,"L")</x:f>
      </x:c>
      <x:c r="AJ5" s="16">
        <x:f>COUNTIF(D5:AG5,"LT")</x:f>
      </x:c>
      <x:c r="AK5" s="16">
        <x:f>COUNTIF(D5:AG5,"A")</x:f>
      </x:c>
    </x:row>
    <x:row r="6">
      <x:c r="A6" s="15">
        <x:v>1002</x:v>
      </x:c>
      <x:c r="B6" s="15" t="s">
        <x:v>70</x:v>
      </x:c>
      <x:c r="C6" s="15" t="s">
        <x:v>71</x:v>
      </x:c>
      <x:c r="D6" s="16" t="s">
        <x:v>72</x:v>
      </x:c>
      <x:c r="E6" s="16" t="s">
        <x:v>73</x:v>
      </x:c>
      <x:c r="F6" s="16" t="s">
        <x:v>74</x:v>
      </x:c>
      <x:c r="G6" s="16" t="s">
        <x:v>75</x:v>
      </x:c>
      <x:c r="H6" s="20" t="s">
        <x:v>76</x:v>
      </x:c>
      <x:c r="I6" s="20" t="s">
        <x:v>77</x:v>
      </x:c>
      <x:c r="J6" s="16" t="s">
        <x:v>78</x:v>
      </x:c>
      <x:c r="K6" s="16" t="s">
        <x:v>79</x:v>
      </x:c>
      <x:c r="L6" s="16" t="s">
        <x:v>80</x:v>
      </x:c>
      <x:c r="M6" s="16" t="s">
        <x:v>81</x:v>
      </x:c>
      <x:c r="N6" s="16" t="s">
        <x:v>82</x:v>
      </x:c>
      <x:c r="O6" s="20" t="s">
        <x:v>83</x:v>
      </x:c>
      <x:c r="P6" s="20" t="s">
        <x:v>84</x:v>
      </x:c>
      <x:c r="Q6" s="16" t="s">
        <x:v>85</x:v>
      </x:c>
      <x:c r="R6" s="16" t="s">
        <x:v>86</x:v>
      </x:c>
      <x:c r="S6" s="16" t="s">
        <x:v>87</x:v>
      </x:c>
      <x:c r="T6" s="16" t="s">
        <x:v>88</x:v>
      </x:c>
      <x:c r="U6" s="16" t="s">
        <x:v>89</x:v>
      </x:c>
      <x:c r="V6" s="20" t="s">
        <x:v>90</x:v>
      </x:c>
      <x:c r="W6" s="20" t="s">
        <x:v>91</x:v>
      </x:c>
      <x:c r="X6" s="16" t="s">
        <x:v>92</x:v>
      </x:c>
      <x:c r="Y6" s="16" t="s">
        <x:v>93</x:v>
      </x:c>
      <x:c r="Z6" s="16" t="s">
        <x:v>94</x:v>
      </x:c>
      <x:c r="AA6" s="16" t="s">
        <x:v>95</x:v>
      </x:c>
      <x:c r="AB6" s="16" t="s">
        <x:v>96</x:v>
      </x:c>
      <x:c r="AC6" s="20" t="s">
        <x:v>97</x:v>
      </x:c>
      <x:c r="AD6" s="20" t="s">
        <x:v>98</x:v>
      </x:c>
      <x:c r="AE6" s="16" t="s">
        <x:v>99</x:v>
      </x:c>
      <x:c r="AF6" s="16" t="s">
        <x:v>100</x:v>
      </x:c>
      <x:c r="AG6" s="16" t="s">
        <x:v>101</x:v>
      </x:c>
      <x:c r="AH6" s="16">
        <x:f>COUNTIF(D6:AG6,"P")+COUNTIF(D6:AG6,"LT")</x:f>
      </x:c>
      <x:c r="AI6" s="16">
        <x:f>COUNTIF(D6:AG6,"L")</x:f>
      </x:c>
      <x:c r="AJ6" s="16">
        <x:f>COUNTIF(D6:AG6,"LT")</x:f>
      </x:c>
      <x:c r="AK6" s="16">
        <x:f>COUNTIF(D6:AG6,"A")</x:f>
      </x:c>
    </x:row>
    <x:row r="7">
      <x:c r="A7" s="15">
        <x:v>1003</x:v>
      </x:c>
      <x:c r="B7" s="15" t="s">
        <x:v>102</x:v>
      </x:c>
      <x:c r="C7" s="15" t="s">
        <x:v>103</x:v>
      </x:c>
      <x:c r="D7" s="16" t="s">
        <x:v>104</x:v>
      </x:c>
      <x:c r="E7" s="16" t="s">
        <x:v>105</x:v>
      </x:c>
      <x:c r="F7" s="16" t="s">
        <x:v>106</x:v>
      </x:c>
      <x:c r="G7" s="16" t="s">
        <x:v>107</x:v>
      </x:c>
      <x:c r="H7" s="20" t="s">
        <x:v>108</x:v>
      </x:c>
      <x:c r="I7" s="20" t="s">
        <x:v>109</x:v>
      </x:c>
      <x:c r="J7" s="16" t="s">
        <x:v>110</x:v>
      </x:c>
      <x:c r="K7" s="16" t="s">
        <x:v>111</x:v>
      </x:c>
      <x:c r="L7" s="16" t="s">
        <x:v>112</x:v>
      </x:c>
      <x:c r="M7" s="16" t="s">
        <x:v>113</x:v>
      </x:c>
      <x:c r="N7" s="16" t="s">
        <x:v>114</x:v>
      </x:c>
      <x:c r="O7" s="20" t="s">
        <x:v>115</x:v>
      </x:c>
      <x:c r="P7" s="20" t="s">
        <x:v>116</x:v>
      </x:c>
      <x:c r="Q7" s="16" t="s">
        <x:v>117</x:v>
      </x:c>
      <x:c r="R7" s="16" t="s">
        <x:v>118</x:v>
      </x:c>
      <x:c r="S7" s="16" t="s">
        <x:v>119</x:v>
      </x:c>
      <x:c r="T7" s="16" t="s">
        <x:v>120</x:v>
      </x:c>
      <x:c r="U7" s="16" t="s">
        <x:v>121</x:v>
      </x:c>
      <x:c r="V7" s="20" t="s">
        <x:v>122</x:v>
      </x:c>
      <x:c r="W7" s="20" t="s">
        <x:v>123</x:v>
      </x:c>
      <x:c r="X7" s="16" t="s">
        <x:v>124</x:v>
      </x:c>
      <x:c r="Y7" s="16" t="s">
        <x:v>125</x:v>
      </x:c>
      <x:c r="Z7" s="16" t="s">
        <x:v>126</x:v>
      </x:c>
      <x:c r="AA7" s="16" t="s">
        <x:v>127</x:v>
      </x:c>
      <x:c r="AB7" s="16" t="s">
        <x:v>128</x:v>
      </x:c>
      <x:c r="AC7" s="20" t="s">
        <x:v>129</x:v>
      </x:c>
      <x:c r="AD7" s="20" t="s">
        <x:v>130</x:v>
      </x:c>
      <x:c r="AE7" s="16" t="s">
        <x:v>131</x:v>
      </x:c>
      <x:c r="AF7" s="16" t="s">
        <x:v>132</x:v>
      </x:c>
      <x:c r="AG7" s="16" t="s">
        <x:v>133</x:v>
      </x:c>
      <x:c r="AH7" s="16">
        <x:f>COUNTIF(D7:AG7,"P")+COUNTIF(D7:AG7,"LT")</x:f>
      </x:c>
      <x:c r="AI7" s="16">
        <x:f>COUNTIF(D7:AG7,"L")</x:f>
      </x:c>
      <x:c r="AJ7" s="16">
        <x:f>COUNTIF(D7:AG7,"LT")</x:f>
      </x:c>
      <x:c r="AK7" s="16">
        <x:f>COUNTIF(D7:AG7,"A")</x:f>
      </x:c>
    </x:row>
    <x:row r="8">
      <x:c r="A8" s="15">
        <x:v>1004</x:v>
      </x:c>
      <x:c r="B8" s="15" t="s">
        <x:v>134</x:v>
      </x:c>
      <x:c r="C8" s="15" t="s">
        <x:v>135</x:v>
      </x:c>
      <x:c r="D8" s="16" t="s">
        <x:v>136</x:v>
      </x:c>
      <x:c r="E8" s="16" t="s">
        <x:v>137</x:v>
      </x:c>
      <x:c r="F8" s="16" t="s">
        <x:v>138</x:v>
      </x:c>
      <x:c r="G8" s="16" t="s">
        <x:v>139</x:v>
      </x:c>
      <x:c r="H8" s="20" t="s">
        <x:v>140</x:v>
      </x:c>
      <x:c r="I8" s="20" t="s">
        <x:v>141</x:v>
      </x:c>
      <x:c r="J8" s="16" t="s">
        <x:v>142</x:v>
      </x:c>
      <x:c r="K8" s="16" t="s">
        <x:v>143</x:v>
      </x:c>
      <x:c r="L8" s="16" t="s">
        <x:v>144</x:v>
      </x:c>
      <x:c r="M8" s="16" t="s">
        <x:v>145</x:v>
      </x:c>
      <x:c r="N8" s="16" t="s">
        <x:v>146</x:v>
      </x:c>
      <x:c r="O8" s="20" t="s">
        <x:v>147</x:v>
      </x:c>
      <x:c r="P8" s="20" t="s">
        <x:v>148</x:v>
      </x:c>
      <x:c r="Q8" s="16" t="s">
        <x:v>149</x:v>
      </x:c>
      <x:c r="R8" s="16" t="s">
        <x:v>150</x:v>
      </x:c>
      <x:c r="S8" s="16" t="s">
        <x:v>151</x:v>
      </x:c>
      <x:c r="T8" s="16" t="s">
        <x:v>152</x:v>
      </x:c>
      <x:c r="U8" s="16" t="s">
        <x:v>153</x:v>
      </x:c>
      <x:c r="V8" s="20" t="s">
        <x:v>154</x:v>
      </x:c>
      <x:c r="W8" s="20" t="s">
        <x:v>155</x:v>
      </x:c>
      <x:c r="X8" s="16" t="s">
        <x:v>156</x:v>
      </x:c>
      <x:c r="Y8" s="16" t="s">
        <x:v>157</x:v>
      </x:c>
      <x:c r="Z8" s="16" t="s">
        <x:v>158</x:v>
      </x:c>
      <x:c r="AA8" s="16" t="s">
        <x:v>159</x:v>
      </x:c>
      <x:c r="AB8" s="16" t="s">
        <x:v>160</x:v>
      </x:c>
      <x:c r="AC8" s="20" t="s">
        <x:v>161</x:v>
      </x:c>
      <x:c r="AD8" s="20" t="s">
        <x:v>162</x:v>
      </x:c>
      <x:c r="AE8" s="16" t="s">
        <x:v>163</x:v>
      </x:c>
      <x:c r="AF8" s="16" t="s">
        <x:v>164</x:v>
      </x:c>
      <x:c r="AG8" s="16" t="s">
        <x:v>165</x:v>
      </x:c>
      <x:c r="AH8" s="16">
        <x:f>COUNTIF(D8:AG8,"P")+COUNTIF(D8:AG8,"LT")</x:f>
      </x:c>
      <x:c r="AI8" s="16">
        <x:f>COUNTIF(D8:AG8,"L")</x:f>
      </x:c>
      <x:c r="AJ8" s="16">
        <x:f>COUNTIF(D8:AG8,"LT")</x:f>
      </x:c>
      <x:c r="AK8" s="16">
        <x:f>COUNTIF(D8:AG8,"A")</x:f>
      </x:c>
    </x:row>
    <x:row r="9">
      <x:c r="A9" s="15">
        <x:v>1005</x:v>
      </x:c>
      <x:c r="B9" s="15" t="s">
        <x:v>166</x:v>
      </x:c>
      <x:c r="C9" s="15" t="s">
        <x:v>167</x:v>
      </x:c>
      <x:c r="D9" s="16" t="s">
        <x:v>168</x:v>
      </x:c>
      <x:c r="E9" s="16" t="s">
        <x:v>169</x:v>
      </x:c>
      <x:c r="F9" s="16" t="s">
        <x:v>170</x:v>
      </x:c>
      <x:c r="G9" s="16" t="s">
        <x:v>171</x:v>
      </x:c>
      <x:c r="H9" s="20" t="s">
        <x:v>172</x:v>
      </x:c>
      <x:c r="I9" s="20" t="s">
        <x:v>173</x:v>
      </x:c>
      <x:c r="J9" s="16" t="s">
        <x:v>174</x:v>
      </x:c>
      <x:c r="K9" s="16" t="s">
        <x:v>175</x:v>
      </x:c>
      <x:c r="L9" s="16" t="s">
        <x:v>176</x:v>
      </x:c>
      <x:c r="M9" s="16" t="s">
        <x:v>177</x:v>
      </x:c>
      <x:c r="N9" s="16" t="s">
        <x:v>178</x:v>
      </x:c>
      <x:c r="O9" s="20" t="s">
        <x:v>179</x:v>
      </x:c>
      <x:c r="P9" s="20" t="s">
        <x:v>180</x:v>
      </x:c>
      <x:c r="Q9" s="16" t="s">
        <x:v>181</x:v>
      </x:c>
      <x:c r="R9" s="16" t="s">
        <x:v>182</x:v>
      </x:c>
      <x:c r="S9" s="16" t="s">
        <x:v>183</x:v>
      </x:c>
      <x:c r="T9" s="16" t="s">
        <x:v>184</x:v>
      </x:c>
      <x:c r="U9" s="16" t="s">
        <x:v>185</x:v>
      </x:c>
      <x:c r="V9" s="20" t="s">
        <x:v>186</x:v>
      </x:c>
      <x:c r="W9" s="20" t="s">
        <x:v>187</x:v>
      </x:c>
      <x:c r="X9" s="16" t="s">
        <x:v>188</x:v>
      </x:c>
      <x:c r="Y9" s="16" t="s">
        <x:v>189</x:v>
      </x:c>
      <x:c r="Z9" s="16" t="s">
        <x:v>190</x:v>
      </x:c>
      <x:c r="AA9" s="16" t="s">
        <x:v>191</x:v>
      </x:c>
      <x:c r="AB9" s="16" t="s">
        <x:v>192</x:v>
      </x:c>
      <x:c r="AC9" s="20" t="s">
        <x:v>193</x:v>
      </x:c>
      <x:c r="AD9" s="20" t="s">
        <x:v>194</x:v>
      </x:c>
      <x:c r="AE9" s="16" t="s">
        <x:v>195</x:v>
      </x:c>
      <x:c r="AF9" s="16" t="s">
        <x:v>196</x:v>
      </x:c>
      <x:c r="AG9" s="16" t="s">
        <x:v>197</x:v>
      </x:c>
      <x:c r="AH9" s="16">
        <x:f>COUNTIF(D9:AG9,"P")+COUNTIF(D9:AG9,"LT")</x:f>
      </x:c>
      <x:c r="AI9" s="16">
        <x:f>COUNTIF(D9:AG9,"L")</x:f>
      </x:c>
      <x:c r="AJ9" s="16">
        <x:f>COUNTIF(D9:AG9,"LT")</x:f>
      </x:c>
      <x:c r="AK9" s="16">
        <x:f>COUNTIF(D9:AG9,"A")</x:f>
      </x:c>
    </x:row>
    <x:row r="10">
      <x:c r="A10" s="15">
        <x:v>1006</x:v>
      </x:c>
      <x:c r="B10" s="15" t="s">
        <x:v>198</x:v>
      </x:c>
      <x:c r="C10" s="15" t="s">
        <x:v>199</x:v>
      </x:c>
      <x:c r="D10" s="16" t="s">
        <x:v>200</x:v>
      </x:c>
      <x:c r="E10" s="16" t="s">
        <x:v>201</x:v>
      </x:c>
      <x:c r="F10" s="16" t="s">
        <x:v>202</x:v>
      </x:c>
      <x:c r="G10" s="16" t="s">
        <x:v>203</x:v>
      </x:c>
      <x:c r="H10" s="20" t="s">
        <x:v>204</x:v>
      </x:c>
      <x:c r="I10" s="20" t="s">
        <x:v>205</x:v>
      </x:c>
      <x:c r="J10" s="16" t="s">
        <x:v>206</x:v>
      </x:c>
      <x:c r="K10" s="16" t="s">
        <x:v>207</x:v>
      </x:c>
      <x:c r="L10" s="16" t="s">
        <x:v>208</x:v>
      </x:c>
      <x:c r="M10" s="16" t="s">
        <x:v>209</x:v>
      </x:c>
      <x:c r="N10" s="16" t="s">
        <x:v>210</x:v>
      </x:c>
      <x:c r="O10" s="20" t="s">
        <x:v>211</x:v>
      </x:c>
      <x:c r="P10" s="20" t="s">
        <x:v>212</x:v>
      </x:c>
      <x:c r="Q10" s="16" t="s">
        <x:v>213</x:v>
      </x:c>
      <x:c r="R10" s="16" t="s">
        <x:v>214</x:v>
      </x:c>
      <x:c r="S10" s="16" t="s">
        <x:v>215</x:v>
      </x:c>
      <x:c r="T10" s="16" t="s">
        <x:v>216</x:v>
      </x:c>
      <x:c r="U10" s="16" t="s">
        <x:v>217</x:v>
      </x:c>
      <x:c r="V10" s="20" t="s">
        <x:v>218</x:v>
      </x:c>
      <x:c r="W10" s="20" t="s">
        <x:v>219</x:v>
      </x:c>
      <x:c r="X10" s="16" t="s">
        <x:v>220</x:v>
      </x:c>
      <x:c r="Y10" s="16" t="s">
        <x:v>221</x:v>
      </x:c>
      <x:c r="Z10" s="16" t="s">
        <x:v>222</x:v>
      </x:c>
      <x:c r="AA10" s="16" t="s">
        <x:v>223</x:v>
      </x:c>
      <x:c r="AB10" s="16" t="s">
        <x:v>224</x:v>
      </x:c>
      <x:c r="AC10" s="20" t="s">
        <x:v>225</x:v>
      </x:c>
      <x:c r="AD10" s="20" t="s">
        <x:v>226</x:v>
      </x:c>
      <x:c r="AE10" s="16" t="s">
        <x:v>227</x:v>
      </x:c>
      <x:c r="AF10" s="16" t="s">
        <x:v>228</x:v>
      </x:c>
      <x:c r="AG10" s="16" t="s">
        <x:v>229</x:v>
      </x:c>
      <x:c r="AH10" s="16">
        <x:f>COUNTIF(D10:AG10,"P")+COUNTIF(D10:AG10,"LT")</x:f>
      </x:c>
      <x:c r="AI10" s="16">
        <x:f>COUNTIF(D10:AG10,"L")</x:f>
      </x:c>
      <x:c r="AJ10" s="16">
        <x:f>COUNTIF(D10:AG10,"LT")</x:f>
      </x:c>
      <x:c r="AK10" s="16">
        <x:f>COUNTIF(D10:AG10,"A")</x:f>
      </x:c>
    </x:row>
    <x:row r="11">
      <x:c r="A11" s="15">
        <x:v>1007</x:v>
      </x:c>
      <x:c r="B11" s="15" t="s">
        <x:v>230</x:v>
      </x:c>
      <x:c r="C11" s="15" t="s">
        <x:v>231</x:v>
      </x:c>
      <x:c r="D11" s="16" t="s">
        <x:v>232</x:v>
      </x:c>
      <x:c r="E11" s="16" t="s">
        <x:v>233</x:v>
      </x:c>
      <x:c r="F11" s="16" t="s">
        <x:v>234</x:v>
      </x:c>
      <x:c r="G11" s="16" t="s">
        <x:v>235</x:v>
      </x:c>
      <x:c r="H11" s="20" t="s">
        <x:v>236</x:v>
      </x:c>
      <x:c r="I11" s="20" t="s">
        <x:v>237</x:v>
      </x:c>
      <x:c r="J11" s="16" t="s">
        <x:v>238</x:v>
      </x:c>
      <x:c r="K11" s="16" t="s">
        <x:v>239</x:v>
      </x:c>
      <x:c r="L11" s="16" t="s">
        <x:v>240</x:v>
      </x:c>
      <x:c r="M11" s="16" t="s">
        <x:v>241</x:v>
      </x:c>
      <x:c r="N11" s="16" t="s">
        <x:v>242</x:v>
      </x:c>
      <x:c r="O11" s="20" t="s">
        <x:v>243</x:v>
      </x:c>
      <x:c r="P11" s="20" t="s">
        <x:v>244</x:v>
      </x:c>
      <x:c r="Q11" s="16" t="s">
        <x:v>245</x:v>
      </x:c>
      <x:c r="R11" s="16" t="s">
        <x:v>246</x:v>
      </x:c>
      <x:c r="S11" s="16" t="s">
        <x:v>247</x:v>
      </x:c>
      <x:c r="T11" s="16" t="s">
        <x:v>248</x:v>
      </x:c>
      <x:c r="U11" s="16" t="s">
        <x:v>249</x:v>
      </x:c>
      <x:c r="V11" s="20" t="s">
        <x:v>250</x:v>
      </x:c>
      <x:c r="W11" s="20" t="s">
        <x:v>251</x:v>
      </x:c>
      <x:c r="X11" s="16" t="s">
        <x:v>252</x:v>
      </x:c>
      <x:c r="Y11" s="16" t="s">
        <x:v>253</x:v>
      </x:c>
      <x:c r="Z11" s="16" t="s">
        <x:v>254</x:v>
      </x:c>
      <x:c r="AA11" s="16" t="s">
        <x:v>255</x:v>
      </x:c>
      <x:c r="AB11" s="16" t="s">
        <x:v>256</x:v>
      </x:c>
      <x:c r="AC11" s="20" t="s">
        <x:v>257</x:v>
      </x:c>
      <x:c r="AD11" s="20" t="s">
        <x:v>258</x:v>
      </x:c>
      <x:c r="AE11" s="16" t="s">
        <x:v>259</x:v>
      </x:c>
      <x:c r="AF11" s="16" t="s">
        <x:v>260</x:v>
      </x:c>
      <x:c r="AG11" s="16" t="s">
        <x:v>261</x:v>
      </x:c>
      <x:c r="AH11" s="16">
        <x:f>COUNTIF(D11:AG11,"P")+COUNTIF(D11:AG11,"LT")</x:f>
      </x:c>
      <x:c r="AI11" s="16">
        <x:f>COUNTIF(D11:AG11,"L")</x:f>
      </x:c>
      <x:c r="AJ11" s="16">
        <x:f>COUNTIF(D11:AG11,"LT")</x:f>
      </x:c>
      <x:c r="AK11" s="16">
        <x:f>COUNTIF(D11:AG11,"A")</x:f>
      </x:c>
    </x:row>
    <x:row r="12">
      <x:c r="A12" s="15">
        <x:v>1008</x:v>
      </x:c>
      <x:c r="B12" s="15" t="s">
        <x:v>262</x:v>
      </x:c>
      <x:c r="C12" s="15" t="s">
        <x:v>263</x:v>
      </x:c>
      <x:c r="D12" s="16" t="s">
        <x:v>264</x:v>
      </x:c>
      <x:c r="E12" s="16" t="s">
        <x:v>265</x:v>
      </x:c>
      <x:c r="F12" s="16" t="s">
        <x:v>266</x:v>
      </x:c>
      <x:c r="G12" s="16" t="s">
        <x:v>267</x:v>
      </x:c>
      <x:c r="H12" s="20" t="s">
        <x:v>268</x:v>
      </x:c>
      <x:c r="I12" s="20" t="s">
        <x:v>269</x:v>
      </x:c>
      <x:c r="J12" s="16" t="s">
        <x:v>270</x:v>
      </x:c>
      <x:c r="K12" s="16" t="s">
        <x:v>271</x:v>
      </x:c>
      <x:c r="L12" s="16" t="s">
        <x:v>272</x:v>
      </x:c>
      <x:c r="M12" s="16" t="s">
        <x:v>273</x:v>
      </x:c>
      <x:c r="N12" s="16" t="s">
        <x:v>274</x:v>
      </x:c>
      <x:c r="O12" s="20" t="s">
        <x:v>275</x:v>
      </x:c>
      <x:c r="P12" s="20" t="s">
        <x:v>276</x:v>
      </x:c>
      <x:c r="Q12" s="16" t="s">
        <x:v>277</x:v>
      </x:c>
      <x:c r="R12" s="16" t="s">
        <x:v>278</x:v>
      </x:c>
      <x:c r="S12" s="16" t="s">
        <x:v>279</x:v>
      </x:c>
      <x:c r="T12" s="16" t="s">
        <x:v>280</x:v>
      </x:c>
      <x:c r="U12" s="16" t="s">
        <x:v>281</x:v>
      </x:c>
      <x:c r="V12" s="20" t="s">
        <x:v>282</x:v>
      </x:c>
      <x:c r="W12" s="20" t="s">
        <x:v>283</x:v>
      </x:c>
      <x:c r="X12" s="16" t="s">
        <x:v>284</x:v>
      </x:c>
      <x:c r="Y12" s="16" t="s">
        <x:v>285</x:v>
      </x:c>
      <x:c r="Z12" s="16" t="s">
        <x:v>286</x:v>
      </x:c>
      <x:c r="AA12" s="16" t="s">
        <x:v>287</x:v>
      </x:c>
      <x:c r="AB12" s="16" t="s">
        <x:v>288</x:v>
      </x:c>
      <x:c r="AC12" s="20" t="s">
        <x:v>289</x:v>
      </x:c>
      <x:c r="AD12" s="20" t="s">
        <x:v>290</x:v>
      </x:c>
      <x:c r="AE12" s="16" t="s">
        <x:v>291</x:v>
      </x:c>
      <x:c r="AF12" s="16" t="s">
        <x:v>292</x:v>
      </x:c>
      <x:c r="AG12" s="16" t="s">
        <x:v>293</x:v>
      </x:c>
      <x:c r="AH12" s="16">
        <x:f>COUNTIF(D12:AG12,"P")+COUNTIF(D12:AG12,"LT")</x:f>
      </x:c>
      <x:c r="AI12" s="16">
        <x:f>COUNTIF(D12:AG12,"L")</x:f>
      </x:c>
      <x:c r="AJ12" s="16">
        <x:f>COUNTIF(D12:AG12,"LT")</x:f>
      </x:c>
      <x:c r="AK12" s="16">
        <x:f>COUNTIF(D12:AG12,"A")</x:f>
      </x:c>
    </x:row>
    <x:row r="13">
      <x:c r="A13" s="15">
        <x:v>1009</x:v>
      </x:c>
      <x:c r="B13" s="15" t="s">
        <x:v>294</x:v>
      </x:c>
      <x:c r="C13" s="15" t="s">
        <x:v>295</x:v>
      </x:c>
      <x:c r="D13" s="16" t="s">
        <x:v>296</x:v>
      </x:c>
      <x:c r="E13" s="16" t="s">
        <x:v>297</x:v>
      </x:c>
      <x:c r="F13" s="16" t="s">
        <x:v>298</x:v>
      </x:c>
      <x:c r="G13" s="16" t="s">
        <x:v>299</x:v>
      </x:c>
      <x:c r="H13" s="20" t="s">
        <x:v>300</x:v>
      </x:c>
      <x:c r="I13" s="20" t="s">
        <x:v>301</x:v>
      </x:c>
      <x:c r="J13" s="16" t="s">
        <x:v>302</x:v>
      </x:c>
      <x:c r="K13" s="16" t="s">
        <x:v>303</x:v>
      </x:c>
      <x:c r="L13" s="16" t="s">
        <x:v>304</x:v>
      </x:c>
      <x:c r="M13" s="16" t="s">
        <x:v>305</x:v>
      </x:c>
      <x:c r="N13" s="16" t="s">
        <x:v>306</x:v>
      </x:c>
      <x:c r="O13" s="20" t="s">
        <x:v>307</x:v>
      </x:c>
      <x:c r="P13" s="20" t="s">
        <x:v>308</x:v>
      </x:c>
      <x:c r="Q13" s="16" t="s">
        <x:v>309</x:v>
      </x:c>
      <x:c r="R13" s="16" t="s">
        <x:v>310</x:v>
      </x:c>
      <x:c r="S13" s="16" t="s">
        <x:v>311</x:v>
      </x:c>
      <x:c r="T13" s="16" t="s">
        <x:v>312</x:v>
      </x:c>
      <x:c r="U13" s="16" t="s">
        <x:v>313</x:v>
      </x:c>
      <x:c r="V13" s="20" t="s">
        <x:v>314</x:v>
      </x:c>
      <x:c r="W13" s="20" t="s">
        <x:v>315</x:v>
      </x:c>
      <x:c r="X13" s="16" t="s">
        <x:v>316</x:v>
      </x:c>
      <x:c r="Y13" s="16" t="s">
        <x:v>317</x:v>
      </x:c>
      <x:c r="Z13" s="16" t="s">
        <x:v>318</x:v>
      </x:c>
      <x:c r="AA13" s="16" t="s">
        <x:v>319</x:v>
      </x:c>
      <x:c r="AB13" s="16" t="s">
        <x:v>320</x:v>
      </x:c>
      <x:c r="AC13" s="20" t="s">
        <x:v>321</x:v>
      </x:c>
      <x:c r="AD13" s="20" t="s">
        <x:v>322</x:v>
      </x:c>
      <x:c r="AE13" s="16" t="s">
        <x:v>323</x:v>
      </x:c>
      <x:c r="AF13" s="16" t="s">
        <x:v>324</x:v>
      </x:c>
      <x:c r="AG13" s="16" t="s">
        <x:v>325</x:v>
      </x:c>
      <x:c r="AH13" s="16">
        <x:f>COUNTIF(D13:AG13,"P")+COUNTIF(D13:AG13,"LT")</x:f>
      </x:c>
      <x:c r="AI13" s="16">
        <x:f>COUNTIF(D13:AG13,"L")</x:f>
      </x:c>
      <x:c r="AJ13" s="16">
        <x:f>COUNTIF(D13:AG13,"LT")</x:f>
      </x:c>
      <x:c r="AK13" s="16">
        <x:f>COUNTIF(D13:AG13,"A")</x:f>
      </x:c>
    </x:row>
    <x:row r="14">
      <x:c r="A14" s="15">
        <x:v>1010</x:v>
      </x:c>
      <x:c r="B14" s="15" t="s">
        <x:v>326</x:v>
      </x:c>
      <x:c r="C14" s="15" t="s">
        <x:v>327</x:v>
      </x:c>
      <x:c r="D14" s="16" t="s">
        <x:v>328</x:v>
      </x:c>
      <x:c r="E14" s="16" t="s">
        <x:v>329</x:v>
      </x:c>
      <x:c r="F14" s="16" t="s">
        <x:v>330</x:v>
      </x:c>
      <x:c r="G14" s="16" t="s">
        <x:v>331</x:v>
      </x:c>
      <x:c r="H14" s="20" t="s">
        <x:v>332</x:v>
      </x:c>
      <x:c r="I14" s="20" t="s">
        <x:v>333</x:v>
      </x:c>
      <x:c r="J14" s="16" t="s">
        <x:v>334</x:v>
      </x:c>
      <x:c r="K14" s="16" t="s">
        <x:v>335</x:v>
      </x:c>
      <x:c r="L14" s="16" t="s">
        <x:v>336</x:v>
      </x:c>
      <x:c r="M14" s="16" t="s">
        <x:v>337</x:v>
      </x:c>
      <x:c r="N14" s="16" t="s">
        <x:v>338</x:v>
      </x:c>
      <x:c r="O14" s="20" t="s">
        <x:v>339</x:v>
      </x:c>
      <x:c r="P14" s="20" t="s">
        <x:v>340</x:v>
      </x:c>
      <x:c r="Q14" s="16" t="s">
        <x:v>341</x:v>
      </x:c>
      <x:c r="R14" s="16" t="s">
        <x:v>342</x:v>
      </x:c>
      <x:c r="S14" s="16" t="s">
        <x:v>343</x:v>
      </x:c>
      <x:c r="T14" s="16" t="s">
        <x:v>344</x:v>
      </x:c>
      <x:c r="U14" s="16" t="s">
        <x:v>345</x:v>
      </x:c>
      <x:c r="V14" s="20" t="s">
        <x:v>346</x:v>
      </x:c>
      <x:c r="W14" s="20" t="s">
        <x:v>347</x:v>
      </x:c>
      <x:c r="X14" s="16" t="s">
        <x:v>348</x:v>
      </x:c>
      <x:c r="Y14" s="16" t="s">
        <x:v>349</x:v>
      </x:c>
      <x:c r="Z14" s="16" t="s">
        <x:v>350</x:v>
      </x:c>
      <x:c r="AA14" s="16" t="s">
        <x:v>351</x:v>
      </x:c>
      <x:c r="AB14" s="16" t="s">
        <x:v>352</x:v>
      </x:c>
      <x:c r="AC14" s="20" t="s">
        <x:v>353</x:v>
      </x:c>
      <x:c r="AD14" s="20" t="s">
        <x:v>354</x:v>
      </x:c>
      <x:c r="AE14" s="16" t="s">
        <x:v>355</x:v>
      </x:c>
      <x:c r="AF14" s="16" t="s">
        <x:v>356</x:v>
      </x:c>
      <x:c r="AG14" s="16" t="s">
        <x:v>357</x:v>
      </x:c>
      <x:c r="AH14" s="16">
        <x:f>COUNTIF(D14:AG14,"P")+COUNTIF(D14:AG14,"LT")</x:f>
      </x:c>
      <x:c r="AI14" s="16">
        <x:f>COUNTIF(D14:AG14,"L")</x:f>
      </x:c>
      <x:c r="AJ14" s="16">
        <x:f>COUNTIF(D14:AG14,"LT")</x:f>
      </x:c>
      <x:c r="AK14" s="16">
        <x:f>COUNTIF(D14:AG14,"A")</x:f>
      </x:c>
    </x:row>
    <x:row r="15">
      <x:c r="A15" s="17" t="s">
        <x:v>358</x:v>
      </x:c>
      <x:c r="B15" s="17"/>
      <x:c r="C15" s="17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  <x:c r="AA15" s="18"/>
      <x:c r="AB15" s="18"/>
      <x:c r="AC15" s="18"/>
      <x:c r="AD15" s="18"/>
      <x:c r="AE15" s="18"/>
      <x:c r="AF15" s="18"/>
      <x:c r="AG15" s="18"/>
      <x:c r="AH15" s="18">
        <x:f>SUM(AH5:AH14)</x:f>
      </x:c>
      <x:c r="AI15" s="18">
        <x:f>SUM(AI5:AI14)</x:f>
      </x:c>
      <x:c r="AJ15" s="18">
        <x:f>SUM(AJ5:AJ14)</x:f>
      </x:c>
      <x:c r="AK15" s="18">
        <x:f>SUM(AK5:AK14)</x:f>
      </x:c>
    </x:row>
    <x:row r="17">
      <x:c r="A17" s="22" t="s">
        <x:v>359</x:v>
      </x:c>
    </x:row>
  </x:sheetData>
  <x:mergeCells count="9">
    <x:mergeCell ref="A1:AK1"/>
    <x:mergeCell ref="A3:A4"/>
    <x:mergeCell ref="B3:B4"/>
    <x:mergeCell ref="C3:C4"/>
    <x:mergeCell ref="AH3:AH4"/>
    <x:mergeCell ref="AI3:AI4"/>
    <x:mergeCell ref="AJ3:AJ4"/>
    <x:mergeCell ref="AK3:AK4"/>
    <x:mergeCell ref="A15:C15"/>
  </x:mergeCells>
</x:worksheet>
</file>