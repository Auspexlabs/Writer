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d4a4c311448a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库存" sheetId="1" r:id="R273cca613682446d"/>
  </x:sheets>
  <x:definedNames>
    <x:definedName name="_xlnm._FilterDatabase" localSheetId="0" hidden="1">库存!$A$6:$L$21</x:definedName>
  </x:definedNames>
  <x:calcPr calcId="0" fullCalcOnLoad="1"/>
</x:workbook>
</file>

<file path=xl/sharedStrings.xml><?xml version="1.0" encoding="utf-8"?>
<x:sst xmlns:x="http://schemas.openxmlformats.org/spreadsheetml/2006/main" count="77" uniqueCount="77">
  <x:si>
    <x:t xml:space="preserve">办公用品库存表 · 2026 年 9 月</x:t>
  </x:si>
  <x:si>
    <x:t xml:space="preserve">库存金额</x:t>
  </x:si>
  <x:si>
    <x:t xml:space="preserve">品目数</x:t>
  </x:si>
  <x:si>
    <x:t xml:space="preserve">需补货</x:t>
  </x:si>
  <x:si>
    <x:t xml:space="preserve">编号</x:t>
  </x:si>
  <x:si>
    <x:t xml:space="preserve">名称</x:t>
  </x:si>
  <x:si>
    <x:t xml:space="preserve">类别</x:t>
  </x:si>
  <x:si>
    <x:t xml:space="preserve">单位</x:t>
  </x:si>
  <x:si>
    <x:t xml:space="preserve">期初</x:t>
  </x:si>
  <x:si>
    <x:t xml:space="preserve">入库</x:t>
  </x:si>
  <x:si>
    <x:t xml:space="preserve">出库</x:t>
  </x:si>
  <x:si>
    <x:t xml:space="preserve">期末</x:t>
  </x:si>
  <x:si>
    <x:t xml:space="preserve">单价</x:t>
  </x:si>
  <x:si>
    <x:t xml:space="preserve">库存金额</x:t>
  </x:si>
  <x:si>
    <x:t xml:space="preserve">安全库存</x:t>
  </x:si>
  <x:si>
    <x:t xml:space="preserve">状态</x:t>
  </x:si>
  <x:si>
    <x:t xml:space="preserve">A001</x:t>
  </x:si>
  <x:si>
    <x:t xml:space="preserve">A4 复印纸</x:t>
  </x:si>
  <x:si>
    <x:t xml:space="preserve">纸品</x:t>
  </x:si>
  <x:si>
    <x:t xml:space="preserve">箱</x:t>
  </x:si>
  <x:si>
    <x:t xml:space="preserve">A002</x:t>
  </x:si>
  <x:si>
    <x:t xml:space="preserve">便利贴</x:t>
  </x:si>
  <x:si>
    <x:t xml:space="preserve">纸品</x:t>
  </x:si>
  <x:si>
    <x:t xml:space="preserve">本</x:t>
  </x:si>
  <x:si>
    <x:t xml:space="preserve">A003</x:t>
  </x:si>
  <x:si>
    <x:t xml:space="preserve">档案盒</x:t>
  </x:si>
  <x:si>
    <x:t xml:space="preserve">纸品</x:t>
  </x:si>
  <x:si>
    <x:t xml:space="preserve">个</x:t>
  </x:si>
  <x:si>
    <x:t xml:space="preserve">B001</x:t>
  </x:si>
  <x:si>
    <x:t xml:space="preserve">签字笔（黑）</x:t>
  </x:si>
  <x:si>
    <x:t xml:space="preserve">文具</x:t>
  </x:si>
  <x:si>
    <x:t xml:space="preserve">支</x:t>
  </x:si>
  <x:si>
    <x:t xml:space="preserve">B002</x:t>
  </x:si>
  <x:si>
    <x:t xml:space="preserve">白板笔</x:t>
  </x:si>
  <x:si>
    <x:t xml:space="preserve">文具</x:t>
  </x:si>
  <x:si>
    <x:t xml:space="preserve">支</x:t>
  </x:si>
  <x:si>
    <x:t xml:space="preserve">B003</x:t>
  </x:si>
  <x:si>
    <x:t xml:space="preserve">订书机</x:t>
  </x:si>
  <x:si>
    <x:t xml:space="preserve">文具</x:t>
  </x:si>
  <x:si>
    <x:t xml:space="preserve">个</x:t>
  </x:si>
  <x:si>
    <x:t xml:space="preserve">B004</x:t>
  </x:si>
  <x:si>
    <x:t xml:space="preserve">文件夹</x:t>
  </x:si>
  <x:si>
    <x:t xml:space="preserve">文具</x:t>
  </x:si>
  <x:si>
    <x:t xml:space="preserve">个</x:t>
  </x:si>
  <x:si>
    <x:t xml:space="preserve">B005</x:t>
  </x:si>
  <x:si>
    <x:t xml:space="preserve">透明胶带</x:t>
  </x:si>
  <x:si>
    <x:t xml:space="preserve">文具</x:t>
  </x:si>
  <x:si>
    <x:t xml:space="preserve">卷</x:t>
  </x:si>
  <x:si>
    <x:t xml:space="preserve">C001</x:t>
  </x:si>
  <x:si>
    <x:t xml:space="preserve">硒鼓</x:t>
  </x:si>
  <x:si>
    <x:t xml:space="preserve">耗材</x:t>
  </x:si>
  <x:si>
    <x:t xml:space="preserve">个</x:t>
  </x:si>
  <x:si>
    <x:t xml:space="preserve">C002</x:t>
  </x:si>
  <x:si>
    <x:t xml:space="preserve">5 号电池</x:t>
  </x:si>
  <x:si>
    <x:t xml:space="preserve">耗材</x:t>
  </x:si>
  <x:si>
    <x:t xml:space="preserve">节</x:t>
  </x:si>
  <x:si>
    <x:t xml:space="preserve">C003</x:t>
  </x:si>
  <x:si>
    <x:t xml:space="preserve">打印机墨盒</x:t>
  </x:si>
  <x:si>
    <x:t xml:space="preserve">耗材</x:t>
  </x:si>
  <x:si>
    <x:t xml:space="preserve">个</x:t>
  </x:si>
  <x:si>
    <x:t xml:space="preserve">D001</x:t>
  </x:si>
  <x:si>
    <x:t xml:space="preserve">键盘</x:t>
  </x:si>
  <x:si>
    <x:t xml:space="preserve">设备</x:t>
  </x:si>
  <x:si>
    <x:t xml:space="preserve">个</x:t>
  </x:si>
  <x:si>
    <x:t xml:space="preserve">D002</x:t>
  </x:si>
  <x:si>
    <x:t xml:space="preserve">鼠标</x:t>
  </x:si>
  <x:si>
    <x:t xml:space="preserve">设备</x:t>
  </x:si>
  <x:si>
    <x:t xml:space="preserve">个</x:t>
  </x:si>
  <x:si>
    <x:t xml:space="preserve">D003</x:t>
  </x:si>
  <x:si>
    <x:t xml:space="preserve">显示器</x:t>
  </x:si>
  <x:si>
    <x:t xml:space="preserve">设备</x:t>
  </x:si>
  <x:si>
    <x:t xml:space="preserve">台</x:t>
  </x:si>
  <x:si>
    <x:t xml:space="preserve">D004</x:t>
  </x:si>
  <x:si>
    <x:t xml:space="preserve">网线（3 米）</x:t>
  </x:si>
  <x:si>
    <x:t xml:space="preserve">设备</x:t>
  </x:si>
  <x:si>
    <x:t xml:space="preserve">根</x:t>
  </x:si>
  <x:si>
    <x:t xml:space="preserve">合计</x:t>
  </x:si>
</x:sst>
</file>

<file path=xl/styles.xml><?xml version="1.0" encoding="utf-8"?>
<x:styleSheet xmlns:x="http://schemas.openxmlformats.org/spreadsheetml/2006/main">
  <x:fonts count="8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1D1D1F"/>
      <x:name val="Calibri"/>
      <x:family val="2"/>
    </x:font>
    <x:font>
      <x:sz val="11"/>
      <x:color rgb="FF6E6E73"/>
      <x:name val="Calibri"/>
      <x:family val="2"/>
    </x:font>
    <x:font>
      <x:sz val="10"/>
      <x:color rgb="FF6E6E73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A4492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D1D1F"/>
        <x:bgColor indexed="64"/>
      </x:patternFill>
    </x:fill>
    <x:fill>
      <x:patternFill patternType="solid">
        <x:fgColor rgb="FFF2F2F4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D2D2D7"/>
      </x:left>
      <x:right style="thin">
        <x:color rgb="FFD2D2D7"/>
      </x:right>
      <x:top style="thin">
        <x:color rgb="FFD2D2D7"/>
      </x:top>
      <x:bottom style="thin">
        <x:color rgb="FFD2D2D7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4" fontId="3" fillId="0" borderId="0" xfId="0" applyNumberFormat="1" applyFont="1"/>
    <x:xf numFmtId="4" fontId="3" fillId="0" borderId="0" xfId="0" applyNumberFormat="1" applyFont="1" applyAlignment="1">
      <x:alignment horizontal="left"/>
    </x:xf>
    <x:xf numFmtId="3" fontId="3" fillId="0" borderId="0" xfId="0" applyNumberFormat="1" applyFont="1"/>
    <x:xf numFmtId="3" fontId="3" fillId="0" borderId="0" xfId="0" applyNumberFormat="1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0" fontId="1" fillId="3" borderId="0" xfId="0" applyFont="1" applyFill="1"/>
    <x:xf numFmtId="3" fontId="0" fillId="0" borderId="0" xfId="0" applyNumberFormat="1"/>
    <x:xf numFmtId="3" fontId="1" fillId="3" borderId="0" xfId="0" applyNumberFormat="1" applyFont="1" applyFill="1"/>
    <x:xf numFmtId="3" fontId="0" fillId="0" borderId="0" xfId="0" applyNumberFormat="1" applyAlignment="1">
      <x:alignment horizontal="right"/>
    </x:xf>
    <x:xf numFmtId="3" fontId="1" fillId="3" borderId="0" xfId="0" applyNumberFormat="1" applyFont="1" applyFill="1" applyAlignment="1">
      <x:alignment horizontal="right"/>
    </x:xf>
    <x:xf numFmtId="4" fontId="0" fillId="0" borderId="0" xfId="0" applyNumberFormat="1"/>
    <x:xf numFmtId="4" fontId="1" fillId="3" borderId="0" xfId="0" applyNumberFormat="1" applyFont="1" applyFill="1"/>
    <x:xf numFmtId="0" fontId="0" fillId="0" borderId="0" xfId="0" applyAlignment="1">
      <x:alignment horizontal="center"/>
    </x:xf>
    <x:xf numFmtId="0" fontId="7" fillId="0" borderId="0" xfId="0" applyFont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3" fontId="0" fillId="0" borderId="1" xfId="0" applyNumberFormat="1" applyBorder="1" applyAlignment="1">
      <x:alignment horizontal="right"/>
    </x:xf>
    <x:xf numFmtId="4" fontId="0" fillId="0" borderId="1" xfId="0" applyNumberFormat="1" applyBorder="1"/>
    <x:xf numFmtId="0" fontId="7" fillId="0" borderId="1" xfId="0" applyFont="1" applyBorder="1" applyAlignment="1">
      <x:alignment horizontal="center"/>
    </x:xf>
    <x:xf numFmtId="0" fontId="1" fillId="3" borderId="1" xfId="0" applyFont="1" applyFill="1" applyBorder="1"/>
    <x:xf numFmtId="3" fontId="1" fillId="3" borderId="1" xfId="0" applyNumberFormat="1" applyFont="1" applyFill="1" applyBorder="1" applyAlignment="1">
      <x:alignment horizontal="right"/>
    </x:xf>
    <x:xf numFmtId="4" fontId="1" fillId="3" borderId="1" xfId="0" applyNumberFormat="1" applyFont="1" applyFill="1" applyBorder="1"/>
    <x:xf numFmtId="0" fontId="0" fillId="0" borderId="2" xfId="0" applyBorder="1"/>
    <x:xf numFmtId="0" fontId="0" fillId="0" borderId="2" xfId="0" applyBorder="1" applyAlignment="1">
      <x:alignment horizontal="center"/>
    </x:xf>
    <x:xf numFmtId="3" fontId="0" fillId="0" borderId="2" xfId="0" applyNumberFormat="1" applyBorder="1" applyAlignment="1">
      <x:alignment horizontal="right"/>
    </x:xf>
    <x:xf numFmtId="4" fontId="0" fillId="0" borderId="2" xfId="0" applyNumberFormat="1" applyBorder="1"/>
    <x:xf numFmtId="0" fontId="7" fillId="0" borderId="2" xfId="0" applyFont="1" applyBorder="1" applyAlignment="1">
      <x:alignment horizontal="center"/>
    </x:xf>
    <x:xf numFmtId="0" fontId="1" fillId="3" borderId="2" xfId="0" applyFont="1" applyFill="1" applyBorder="1"/>
    <x:xf numFmtId="3" fontId="1" fillId="3" borderId="2" xfId="0" applyNumberFormat="1" applyFont="1" applyFill="1" applyBorder="1" applyAlignment="1">
      <x:alignment horizontal="right"/>
    </x:xf>
    <x:xf numFmtId="4" fontId="1" fillId="3" borderId="2" xfId="0" applyNumberFormat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3cca613682446d" /><Relationship Type="http://schemas.openxmlformats.org/officeDocument/2006/relationships/styles" Target="/xl/styles.xml" Id="R5a8bc63d82f749f2" /><Relationship Type="http://schemas.openxmlformats.org/officeDocument/2006/relationships/sharedStrings" Target="/xl/sharedStrings.xml" Id="R9e7cbd01ae1740d9" /></Relationships>
</file>

<file path=xl/worksheets/sheet1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cols>
    <x:col min="1" max="1" width="8" customWidth="1"/>
    <x:col min="2" max="2" width="18" customWidth="1"/>
    <x:col min="3" max="3" width="9" customWidth="1"/>
    <x:col min="4" max="4" width="6" customWidth="1"/>
    <x:col min="5" max="5" width="8" customWidth="1"/>
    <x:col min="6" max="6" width="8" customWidth="1"/>
    <x:col min="7" max="7" width="8" customWidth="1"/>
    <x:col min="8" max="8" width="8" customWidth="1"/>
    <x:col min="9" max="9" width="10" customWidth="1"/>
    <x:col min="10" max="10" width="12" customWidth="1"/>
    <x:col min="11" max="11" width="9" customWidth="1"/>
    <x:col min="12" max="12" width="9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</x:row>
    <x:row r="4" ht="26" customHeight="1">
      <x:c r="A4" s="7">
        <x:f>SUM(J7:J40)</x:f>
      </x:c>
      <x:c r="C4" s="9">
        <x:f>COUNTA(B7:B40)</x:f>
      </x:c>
      <x:c r="E4" s="9">
        <x:f>COUNTIF(L7:L40,"需补货")</x:f>
      </x:c>
    </x:row>
    <x:row r="6" ht="22" customHeight="1">
      <x:c r="A6" s="13" t="s">
        <x:v>4</x:v>
      </x:c>
      <x:c r="B6" s="13" t="s">
        <x:v>5</x:v>
      </x:c>
      <x:c r="C6" s="13" t="s">
        <x:v>6</x:v>
      </x:c>
      <x:c r="D6" s="13" t="s">
        <x:v>7</x:v>
      </x:c>
      <x:c r="E6" s="13" t="s">
        <x:v>8</x:v>
      </x:c>
      <x:c r="F6" s="13" t="s">
        <x:v>9</x:v>
      </x:c>
      <x:c r="G6" s="13" t="s">
        <x:v>10</x:v>
      </x:c>
      <x:c r="H6" s="13" t="s">
        <x:v>11</x:v>
      </x:c>
      <x:c r="I6" s="13" t="s">
        <x:v>12</x:v>
      </x:c>
      <x:c r="J6" s="13" t="s">
        <x:v>13</x:v>
      </x:c>
      <x:c r="K6" s="13" t="s">
        <x:v>14</x:v>
      </x:c>
      <x:c r="L6" s="13" t="s">
        <x:v>15</x:v>
      </x:c>
    </x:row>
    <x:row r="7">
      <x:c r="A7" s="31" t="s">
        <x:v>16</x:v>
      </x:c>
      <x:c r="B7" s="31" t="s">
        <x:v>17</x:v>
      </x:c>
      <x:c r="C7" s="31" t="s">
        <x:v>18</x:v>
      </x:c>
      <x:c r="D7" s="32" t="s">
        <x:v>19</x:v>
      </x:c>
      <x:c r="E7" s="33">
        <x:v>24</x:v>
      </x:c>
      <x:c r="F7" s="33">
        <x:v>20</x:v>
      </x:c>
      <x:c r="G7" s="33">
        <x:v>31</x:v>
      </x:c>
      <x:c r="H7" s="33">
        <x:f>E7+F7-G7</x:f>
      </x:c>
      <x:c r="I7" s="34">
        <x:v>45</x:v>
      </x:c>
      <x:c r="J7" s="34">
        <x:f>H7*I7</x:f>
      </x:c>
      <x:c r="K7" s="33">
        <x:v>10</x:v>
      </x:c>
      <x:c r="L7" s="35">
        <x:f>IF(H7&lt;=K7,"需补货","正常")</x:f>
      </x:c>
    </x:row>
    <x:row r="8">
      <x:c r="A8" s="31" t="s">
        <x:v>20</x:v>
      </x:c>
      <x:c r="B8" s="31" t="s">
        <x:v>21</x:v>
      </x:c>
      <x:c r="C8" s="31" t="s">
        <x:v>22</x:v>
      </x:c>
      <x:c r="D8" s="32" t="s">
        <x:v>23</x:v>
      </x:c>
      <x:c r="E8" s="33">
        <x:v>60</x:v>
      </x:c>
      <x:c r="F8" s="33">
        <x:v>0</x:v>
      </x:c>
      <x:c r="G8" s="33">
        <x:v>38</x:v>
      </x:c>
      <x:c r="H8" s="33">
        <x:f>E8+F8-G8</x:f>
      </x:c>
      <x:c r="I8" s="34">
        <x:v>4.5</x:v>
      </x:c>
      <x:c r="J8" s="34">
        <x:f>H8*I8</x:f>
      </x:c>
      <x:c r="K8" s="33">
        <x:v>20</x:v>
      </x:c>
      <x:c r="L8" s="35">
        <x:f>IF(H8&lt;=K8,"需补货","正常")</x:f>
      </x:c>
    </x:row>
    <x:row r="9">
      <x:c r="A9" s="31" t="s">
        <x:v>24</x:v>
      </x:c>
      <x:c r="B9" s="31" t="s">
        <x:v>25</x:v>
      </x:c>
      <x:c r="C9" s="31" t="s">
        <x:v>26</x:v>
      </x:c>
      <x:c r="D9" s="32" t="s">
        <x:v>27</x:v>
      </x:c>
      <x:c r="E9" s="33">
        <x:v>35</x:v>
      </x:c>
      <x:c r="F9" s="33">
        <x:v>50</x:v>
      </x:c>
      <x:c r="G9" s="33">
        <x:v>42</x:v>
      </x:c>
      <x:c r="H9" s="33">
        <x:f>E9+F9-G9</x:f>
      </x:c>
      <x:c r="I9" s="34">
        <x:v>6.8</x:v>
      </x:c>
      <x:c r="J9" s="34">
        <x:f>H9*I9</x:f>
      </x:c>
      <x:c r="K9" s="33">
        <x:v>20</x:v>
      </x:c>
      <x:c r="L9" s="35">
        <x:f>IF(H9&lt;=K9,"需补货","正常")</x:f>
      </x:c>
    </x:row>
    <x:row r="10">
      <x:c r="A10" s="31" t="s">
        <x:v>28</x:v>
      </x:c>
      <x:c r="B10" s="31" t="s">
        <x:v>29</x:v>
      </x:c>
      <x:c r="C10" s="31" t="s">
        <x:v>30</x:v>
      </x:c>
      <x:c r="D10" s="32" t="s">
        <x:v>31</x:v>
      </x:c>
      <x:c r="E10" s="33">
        <x:v>120</x:v>
      </x:c>
      <x:c r="F10" s="33">
        <x:v>100</x:v>
      </x:c>
      <x:c r="G10" s="33">
        <x:v>168</x:v>
      </x:c>
      <x:c r="H10" s="33">
        <x:f>E10+F10-G10</x:f>
      </x:c>
      <x:c r="I10" s="34">
        <x:v>2.5</x:v>
      </x:c>
      <x:c r="J10" s="34">
        <x:f>H10*I10</x:f>
      </x:c>
      <x:c r="K10" s="33">
        <x:v>60</x:v>
      </x:c>
      <x:c r="L10" s="35">
        <x:f>IF(H10&lt;=K10,"需补货","正常")</x:f>
      </x:c>
    </x:row>
    <x:row r="11">
      <x:c r="A11" s="31" t="s">
        <x:v>32</x:v>
      </x:c>
      <x:c r="B11" s="31" t="s">
        <x:v>33</x:v>
      </x:c>
      <x:c r="C11" s="31" t="s">
        <x:v>34</x:v>
      </x:c>
      <x:c r="D11" s="32" t="s">
        <x:v>35</x:v>
      </x:c>
      <x:c r="E11" s="33">
        <x:v>40</x:v>
      </x:c>
      <x:c r="F11" s="33">
        <x:v>0</x:v>
      </x:c>
      <x:c r="G11" s="33">
        <x:v>28</x:v>
      </x:c>
      <x:c r="H11" s="33">
        <x:f>E11+F11-G11</x:f>
      </x:c>
      <x:c r="I11" s="34">
        <x:v>3.2</x:v>
      </x:c>
      <x:c r="J11" s="34">
        <x:f>H11*I11</x:f>
      </x:c>
      <x:c r="K11" s="33">
        <x:v>20</x:v>
      </x:c>
      <x:c r="L11" s="35">
        <x:f>IF(H11&lt;=K11,"需补货","正常")</x:f>
      </x:c>
    </x:row>
    <x:row r="12">
      <x:c r="A12" s="31" t="s">
        <x:v>36</x:v>
      </x:c>
      <x:c r="B12" s="31" t="s">
        <x:v>37</x:v>
      </x:c>
      <x:c r="C12" s="31" t="s">
        <x:v>38</x:v>
      </x:c>
      <x:c r="D12" s="32" t="s">
        <x:v>39</x:v>
      </x:c>
      <x:c r="E12" s="33">
        <x:v>12</x:v>
      </x:c>
      <x:c r="F12" s="33">
        <x:v>0</x:v>
      </x:c>
      <x:c r="G12" s="33">
        <x:v>3</x:v>
      </x:c>
      <x:c r="H12" s="33">
        <x:f>E12+F12-G12</x:f>
      </x:c>
      <x:c r="I12" s="34">
        <x:v>28</x:v>
      </x:c>
      <x:c r="J12" s="34">
        <x:f>H12*I12</x:f>
      </x:c>
      <x:c r="K12" s="33">
        <x:v>5</x:v>
      </x:c>
      <x:c r="L12" s="35">
        <x:f>IF(H12&lt;=K12,"需补货","正常")</x:f>
      </x:c>
    </x:row>
    <x:row r="13">
      <x:c r="A13" s="31" t="s">
        <x:v>40</x:v>
      </x:c>
      <x:c r="B13" s="31" t="s">
        <x:v>41</x:v>
      </x:c>
      <x:c r="C13" s="31" t="s">
        <x:v>42</x:v>
      </x:c>
      <x:c r="D13" s="32" t="s">
        <x:v>43</x:v>
      </x:c>
      <x:c r="E13" s="33">
        <x:v>80</x:v>
      </x:c>
      <x:c r="F13" s="33">
        <x:v>40</x:v>
      </x:c>
      <x:c r="G13" s="33">
        <x:v>66</x:v>
      </x:c>
      <x:c r="H13" s="33">
        <x:f>E13+F13-G13</x:f>
      </x:c>
      <x:c r="I13" s="34">
        <x:v>5.5</x:v>
      </x:c>
      <x:c r="J13" s="34">
        <x:f>H13*I13</x:f>
      </x:c>
      <x:c r="K13" s="33">
        <x:v>30</x:v>
      </x:c>
      <x:c r="L13" s="35">
        <x:f>IF(H13&lt;=K13,"需补货","正常")</x:f>
      </x:c>
    </x:row>
    <x:row r="14">
      <x:c r="A14" s="31" t="s">
        <x:v>44</x:v>
      </x:c>
      <x:c r="B14" s="31" t="s">
        <x:v>45</x:v>
      </x:c>
      <x:c r="C14" s="31" t="s">
        <x:v>46</x:v>
      </x:c>
      <x:c r="D14" s="32" t="s">
        <x:v>47</x:v>
      </x:c>
      <x:c r="E14" s="33">
        <x:v>30</x:v>
      </x:c>
      <x:c r="F14" s="33">
        <x:v>24</x:v>
      </x:c>
      <x:c r="G14" s="33">
        <x:v>39</x:v>
      </x:c>
      <x:c r="H14" s="33">
        <x:f>E14+F14-G14</x:f>
      </x:c>
      <x:c r="I14" s="34">
        <x:v>4</x:v>
      </x:c>
      <x:c r="J14" s="34">
        <x:f>H14*I14</x:f>
      </x:c>
      <x:c r="K14" s="33">
        <x:v>15</x:v>
      </x:c>
      <x:c r="L14" s="35">
        <x:f>IF(H14&lt;=K14,"需补货","正常")</x:f>
      </x:c>
    </x:row>
    <x:row r="15">
      <x:c r="A15" s="31" t="s">
        <x:v>48</x:v>
      </x:c>
      <x:c r="B15" s="31" t="s">
        <x:v>49</x:v>
      </x:c>
      <x:c r="C15" s="31" t="s">
        <x:v>50</x:v>
      </x:c>
      <x:c r="D15" s="32" t="s">
        <x:v>51</x:v>
      </x:c>
      <x:c r="E15" s="33">
        <x:v>6</x:v>
      </x:c>
      <x:c r="F15" s="33">
        <x:v>4</x:v>
      </x:c>
      <x:c r="G15" s="33">
        <x:v>7</x:v>
      </x:c>
      <x:c r="H15" s="33">
        <x:f>E15+F15-G15</x:f>
      </x:c>
      <x:c r="I15" s="34">
        <x:v>320</x:v>
      </x:c>
      <x:c r="J15" s="34">
        <x:f>H15*I15</x:f>
      </x:c>
      <x:c r="K15" s="33">
        <x:v>3</x:v>
      </x:c>
      <x:c r="L15" s="35">
        <x:f>IF(H15&lt;=K15,"需补货","正常")</x:f>
      </x:c>
    </x:row>
    <x:row r="16">
      <x:c r="A16" s="31" t="s">
        <x:v>52</x:v>
      </x:c>
      <x:c r="B16" s="31" t="s">
        <x:v>53</x:v>
      </x:c>
      <x:c r="C16" s="31" t="s">
        <x:v>54</x:v>
      </x:c>
      <x:c r="D16" s="32" t="s">
        <x:v>55</x:v>
      </x:c>
      <x:c r="E16" s="33">
        <x:v>48</x:v>
      </x:c>
      <x:c r="F16" s="33">
        <x:v>0</x:v>
      </x:c>
      <x:c r="G16" s="33">
        <x:v>36</x:v>
      </x:c>
      <x:c r="H16" s="33">
        <x:f>E16+F16-G16</x:f>
      </x:c>
      <x:c r="I16" s="34">
        <x:v>1.8</x:v>
      </x:c>
      <x:c r="J16" s="34">
        <x:f>H16*I16</x:f>
      </x:c>
      <x:c r="K16" s="33">
        <x:v>24</x:v>
      </x:c>
      <x:c r="L16" s="35">
        <x:f>IF(H16&lt;=K16,"需补货","正常")</x:f>
      </x:c>
    </x:row>
    <x:row r="17">
      <x:c r="A17" s="31" t="s">
        <x:v>56</x:v>
      </x:c>
      <x:c r="B17" s="31" t="s">
        <x:v>57</x:v>
      </x:c>
      <x:c r="C17" s="31" t="s">
        <x:v>58</x:v>
      </x:c>
      <x:c r="D17" s="32" t="s">
        <x:v>59</x:v>
      </x:c>
      <x:c r="E17" s="33">
        <x:v>8</x:v>
      </x:c>
      <x:c r="F17" s="33">
        <x:v>6</x:v>
      </x:c>
      <x:c r="G17" s="33">
        <x:v>9</x:v>
      </x:c>
      <x:c r="H17" s="33">
        <x:f>E17+F17-G17</x:f>
      </x:c>
      <x:c r="I17" s="34">
        <x:v>145</x:v>
      </x:c>
      <x:c r="J17" s="34">
        <x:f>H17*I17</x:f>
      </x:c>
      <x:c r="K17" s="33">
        <x:v>4</x:v>
      </x:c>
      <x:c r="L17" s="35">
        <x:f>IF(H17&lt;=K17,"需补货","正常")</x:f>
      </x:c>
    </x:row>
    <x:row r="18">
      <x:c r="A18" s="31" t="s">
        <x:v>60</x:v>
      </x:c>
      <x:c r="B18" s="31" t="s">
        <x:v>61</x:v>
      </x:c>
      <x:c r="C18" s="31" t="s">
        <x:v>62</x:v>
      </x:c>
      <x:c r="D18" s="32" t="s">
        <x:v>63</x:v>
      </x:c>
      <x:c r="E18" s="33">
        <x:v>10</x:v>
      </x:c>
      <x:c r="F18" s="33">
        <x:v>5</x:v>
      </x:c>
      <x:c r="G18" s="33">
        <x:v>4</x:v>
      </x:c>
      <x:c r="H18" s="33">
        <x:f>E18+F18-G18</x:f>
      </x:c>
      <x:c r="I18" s="34">
        <x:v>119</x:v>
      </x:c>
      <x:c r="J18" s="34">
        <x:f>H18*I18</x:f>
      </x:c>
      <x:c r="K18" s="33">
        <x:v>4</x:v>
      </x:c>
      <x:c r="L18" s="35">
        <x:f>IF(H18&lt;=K18,"需补货","正常")</x:f>
      </x:c>
    </x:row>
    <x:row r="19">
      <x:c r="A19" s="31" t="s">
        <x:v>64</x:v>
      </x:c>
      <x:c r="B19" s="31" t="s">
        <x:v>65</x:v>
      </x:c>
      <x:c r="C19" s="31" t="s">
        <x:v>66</x:v>
      </x:c>
      <x:c r="D19" s="32" t="s">
        <x:v>67</x:v>
      </x:c>
      <x:c r="E19" s="33">
        <x:v>14</x:v>
      </x:c>
      <x:c r="F19" s="33">
        <x:v>0</x:v>
      </x:c>
      <x:c r="G19" s="33">
        <x:v>6</x:v>
      </x:c>
      <x:c r="H19" s="33">
        <x:f>E19+F19-G19</x:f>
      </x:c>
      <x:c r="I19" s="34">
        <x:v>69</x:v>
      </x:c>
      <x:c r="J19" s="34">
        <x:f>H19*I19</x:f>
      </x:c>
      <x:c r="K19" s="33">
        <x:v>4</x:v>
      </x:c>
      <x:c r="L19" s="35">
        <x:f>IF(H19&lt;=K19,"需补货","正常")</x:f>
      </x:c>
    </x:row>
    <x:row r="20">
      <x:c r="A20" s="31" t="s">
        <x:v>68</x:v>
      </x:c>
      <x:c r="B20" s="31" t="s">
        <x:v>69</x:v>
      </x:c>
      <x:c r="C20" s="31" t="s">
        <x:v>70</x:v>
      </x:c>
      <x:c r="D20" s="32" t="s">
        <x:v>71</x:v>
      </x:c>
      <x:c r="E20" s="33">
        <x:v>4</x:v>
      </x:c>
      <x:c r="F20" s="33">
        <x:v>6</x:v>
      </x:c>
      <x:c r="G20" s="33">
        <x:v>7</x:v>
      </x:c>
      <x:c r="H20" s="33">
        <x:f>E20+F20-G20</x:f>
      </x:c>
      <x:c r="I20" s="34">
        <x:v>1280</x:v>
      </x:c>
      <x:c r="J20" s="34">
        <x:f>H20*I20</x:f>
      </x:c>
      <x:c r="K20" s="33">
        <x:v>2</x:v>
      </x:c>
      <x:c r="L20" s="35">
        <x:f>IF(H20&lt;=K20,"需补货","正常")</x:f>
      </x:c>
    </x:row>
    <x:row r="21">
      <x:c r="A21" s="31" t="s">
        <x:v>72</x:v>
      </x:c>
      <x:c r="B21" s="31" t="s">
        <x:v>73</x:v>
      </x:c>
      <x:c r="C21" s="31" t="s">
        <x:v>74</x:v>
      </x:c>
      <x:c r="D21" s="32" t="s">
        <x:v>75</x:v>
      </x:c>
      <x:c r="E21" s="33">
        <x:v>25</x:v>
      </x:c>
      <x:c r="F21" s="33">
        <x:v>0</x:v>
      </x:c>
      <x:c r="G21" s="33">
        <x:v>12</x:v>
      </x:c>
      <x:c r="H21" s="33">
        <x:f>E21+F21-G21</x:f>
      </x:c>
      <x:c r="I21" s="34">
        <x:v>12</x:v>
      </x:c>
      <x:c r="J21" s="34">
        <x:f>H21*I21</x:f>
      </x:c>
      <x:c r="K21" s="33">
        <x:v>10</x:v>
      </x:c>
      <x:c r="L21" s="35">
        <x:f>IF(H21&lt;=K21,"需补货","正常")</x:f>
      </x:c>
    </x:row>
    <x:row r="22">
      <x:c r="A22" s="36" t="s">
        <x:v>76</x:v>
      </x:c>
      <x:c r="B22" s="36"/>
      <x:c r="C22" s="36"/>
      <x:c r="D22" s="36"/>
      <x:c r="E22" s="37">
        <x:f>SUM(E7:E21)</x:f>
      </x:c>
      <x:c r="F22" s="37">
        <x:f>SUM(F7:F21)</x:f>
      </x:c>
      <x:c r="G22" s="37">
        <x:f>SUM(G7:G21)</x:f>
      </x:c>
      <x:c r="H22" s="37">
        <x:f>SUM(H7:H21)</x:f>
      </x:c>
      <x:c r="I22" s="38"/>
      <x:c r="J22" s="38">
        <x:f>SUM(J7:J21)</x:f>
      </x:c>
      <x:c r="K22" s="36"/>
      <x:c r="L22" s="36"/>
    </x:row>
  </x:sheetData>
  <x:autoFilter ref="A6:L21"/>
  <x:mergeCells count="8">
    <x:mergeCell ref="A1:L1"/>
    <x:mergeCell ref="A3:B3"/>
    <x:mergeCell ref="A4:B4"/>
    <x:mergeCell ref="C3:D3"/>
    <x:mergeCell ref="C4:D4"/>
    <x:mergeCell ref="E3:F3"/>
    <x:mergeCell ref="E4:F4"/>
    <x:mergeCell ref="A22:D22"/>
  </x:mergeCells>
</x:worksheet>
</file>