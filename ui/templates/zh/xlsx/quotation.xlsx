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57ef66f17c460a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报价单" sheetId="1" r:id="R69201ae7f43a43e8"/>
  </x:sheets>
  <x:calcPr calcId="0" fullCalcOnLoad="1"/>
</x:workbook>
</file>

<file path=xl/sharedStrings.xml><?xml version="1.0" encoding="utf-8"?>
<x:sst xmlns:x="http://schemas.openxmlformats.org/spreadsheetml/2006/main" count="54" uniqueCount="54">
  <x:si>
    <x:t xml:space="preserve">远山科技有限公司</x:t>
  </x:si>
  <x:si>
    <x:t xml:space="preserve">杭州市西湖区文三路 258 号　·　0571-0000 0000　·　sales@example.com</x:t>
  </x:si>
  <x:si>
    <x:t xml:space="preserve">报 价 单</x:t>
  </x:si>
  <x:si>
    <x:t xml:space="preserve">报价编号</x:t>
  </x:si>
  <x:si>
    <x:t xml:space="preserve">QT-20260925-01</x:t>
  </x:si>
  <x:si>
    <x:t xml:space="preserve">报价日期</x:t>
  </x:si>
  <x:si>
    <x:t xml:space="preserve">有效期至</x:t>
  </x:si>
  <x:si>
    <x:t xml:space="preserve">客户名称</x:t>
  </x:si>
  <x:si>
    <x:t xml:space="preserve">明川文化传媒有限公司</x:t>
  </x:si>
  <x:si>
    <x:t xml:space="preserve">联系人</x:t>
  </x:si>
  <x:si>
    <x:t xml:space="preserve">张伟</x:t>
  </x:si>
  <x:si>
    <x:t xml:space="preserve">地址</x:t>
  </x:si>
  <x:si>
    <x:t xml:space="preserve">上海市浦东新区世纪大道 100 号</x:t>
  </x:si>
  <x:si>
    <x:t xml:space="preserve">电话</x:t>
  </x:si>
  <x:si>
    <x:t xml:space="preserve">138 0000 0001</x:t>
  </x:si>
  <x:si>
    <x:t xml:space="preserve">#</x:t>
  </x:si>
  <x:si>
    <x:t xml:space="preserve">品名</x:t>
  </x:si>
  <x:si>
    <x:t xml:space="preserve">规格 / 说明</x:t>
  </x:si>
  <x:si>
    <x:t xml:space="preserve">单位</x:t>
  </x:si>
  <x:si>
    <x:t xml:space="preserve">数量</x:t>
  </x:si>
  <x:si>
    <x:t xml:space="preserve">单价</x:t>
  </x:si>
  <x:si>
    <x:t xml:space="preserve">金额</x:t>
  </x:si>
  <x:si>
    <x:t xml:space="preserve">备注</x:t>
  </x:si>
  <x:si>
    <x:t xml:space="preserve">内容管理系统 · 标准版</x:t>
  </x:si>
  <x:si>
    <x:t xml:space="preserve">50 个编辑席位，含一年升级</x:t>
  </x:si>
  <x:si>
    <x:t xml:space="preserve">套</x:t>
  </x:si>
  <x:si>
    <x:t xml:space="preserve">定制开发</x:t>
  </x:si>
  <x:si>
    <x:t xml:space="preserve">审批流与多渠道发布模块</x:t>
  </x:si>
  <x:si>
    <x:t xml:space="preserve">人天</x:t>
  </x:si>
  <x:si>
    <x:t xml:space="preserve">数据迁移</x:t>
  </x:si>
  <x:si>
    <x:t xml:space="preserve">历史内容约 12,000 篇</x:t>
  </x:si>
  <x:si>
    <x:t xml:space="preserve">项</x:t>
  </x:si>
  <x:si>
    <x:t xml:space="preserve">部署实施</x:t>
  </x:si>
  <x:si>
    <x:t xml:space="preserve">生产与测试两套环境</x:t>
  </x:si>
  <x:si>
    <x:t xml:space="preserve">项</x:t>
  </x:si>
  <x:si>
    <x:t xml:space="preserve">培训</x:t>
  </x:si>
  <x:si>
    <x:t xml:space="preserve">管理员 1 场，编辑 2 场</x:t>
  </x:si>
  <x:si>
    <x:t xml:space="preserve">场</x:t>
  </x:si>
  <x:si>
    <x:t xml:space="preserve">可远程</x:t>
  </x:si>
  <x:si>
    <x:t xml:space="preserve">运维支持</x:t>
  </x:si>
  <x:si>
    <x:t xml:space="preserve">工作日 9–18 点，4 小时响应</x:t>
  </x:si>
  <x:si>
    <x:t xml:space="preserve">月</x:t>
  </x:si>
  <x:si>
    <x:t xml:space="preserve">首年</x:t>
  </x:si>
  <x:si>
    <x:t xml:space="preserve">小计</x:t>
  </x:si>
  <x:si>
    <x:t xml:space="preserve">折扣</x:t>
  </x:si>
  <x:si>
    <x:t xml:space="preserve">折后金额</x:t>
  </x:si>
  <x:si>
    <x:t xml:space="preserve">税额（13%）</x:t>
  </x:si>
  <x:si>
    <x:t xml:space="preserve">合计（含税）</x:t>
  </x:si>
  <x:si>
    <x:t xml:space="preserve">说明</x:t>
  </x:si>
  <x:si>
    <x:t xml:space="preserve">1. 付款方式：合同签订后预付 30%，验收后支付 60%，运维期满支付 10%。</x:t>
  </x:si>
  <x:si>
    <x:t xml:space="preserve">2. 报价含 13% 增值税，开具增值税专用发票。</x:t>
  </x:si>
  <x:si>
    <x:t xml:space="preserve">3. 本报价自报价日起 30 天内有效。</x:t>
  </x:si>
  <x:si>
    <x:t xml:space="preserve">报价人：李明</x:t>
  </x:si>
  <x:si>
    <x:t xml:space="preserve">客户确认（签章）：</x:t>
  </x:si>
</x:sst>
</file>

<file path=xl/styles.xml><?xml version="1.0" encoding="utf-8"?>
<x:styleSheet xmlns:x="http://schemas.openxmlformats.org/spreadsheetml/2006/main">
  <x:numFmts count="2">
    <x:numFmt numFmtId="164" formatCode="yyyy-mm-dd"/>
    <x:numFmt numFmtId="165" formatCode="¥#,##0.00"/>
  </x:numFmts>
  <x:fonts count="13">
    <x:font>
      <x:sz val="11"/>
      <x:color rgb="FF000000"/>
      <x:name val="Calibri"/>
      <x:family val="2"/>
    </x:font>
    <x:font>
      <x:b/>
      <x:sz val="11"/>
      <x:color rgb="FF000000"/>
      <x:name val="Calibri"/>
      <x:family val="2"/>
    </x:font>
    <x:font>
      <x:b/>
      <x:sz val="14"/>
      <x:color rgb="FF000000"/>
      <x:name val="Calibri"/>
      <x:family val="2"/>
    </x:font>
    <x:font>
      <x:b/>
      <x:sz val="14"/>
      <x:color rgb="FF1F3A5F"/>
      <x:name val="Calibri"/>
      <x:family val="2"/>
    </x:font>
    <x:font>
      <x:sz val="11"/>
      <x:color rgb="FF5E6B7A"/>
      <x:name val="Calibri"/>
      <x:family val="2"/>
    </x:font>
    <x:font>
      <x:sz val="9"/>
      <x:color rgb="FF5E6B7A"/>
      <x:name val="Calibri"/>
      <x:family val="2"/>
    </x:font>
    <x:font>
      <x:b/>
      <x:sz val="20"/>
      <x:color rgb="FF000000"/>
      <x:name val="Calibri"/>
      <x:family val="2"/>
    </x:font>
    <x:font>
      <x:b/>
      <x:sz val="20"/>
      <x:color rgb="FF1F3A5F"/>
      <x:name val="Calibri"/>
      <x:family val="2"/>
    </x:font>
    <x:font>
      <x:b/>
      <x:sz val="11"/>
      <x:color rgb="FFFFFFFF"/>
      <x:name val="Calibri"/>
      <x:family val="2"/>
    </x:font>
    <x:font>
      <x:b/>
      <x:sz val="11"/>
      <x:color rgb="FF5E6B7A"/>
      <x:name val="Calibri"/>
      <x:family val="2"/>
    </x:font>
    <x:font>
      <x:b/>
      <x:sz val="11"/>
      <x:color rgb="FF1F3A5F"/>
      <x:name val="Calibri"/>
      <x:family val="2"/>
    </x:font>
    <x:font>
      <x:b/>
      <x:sz val="12"/>
      <x:color rgb="FF1F3A5F"/>
      <x:name val="Calibri"/>
      <x:family val="2"/>
    </x:font>
    <x:font>
      <x:sz val="10"/>
      <x:color rgb="FF5E6B7A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EEF2F7"/>
        <x:bgColor indexed="64"/>
      </x:patternFill>
    </x:fill>
    <x:fill>
      <x:patternFill patternType="solid">
        <x:fgColor rgb="FF1F3A5F"/>
        <x:bgColor indexed="64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 style="thin">
        <x:color rgb="FFC9D3E0"/>
      </x:left>
      <x:right style="thin">
        <x:color rgb="FFC9D3E0"/>
      </x:right>
      <x:top style="thin">
        <x:color rgb="FFC9D3E0"/>
      </x:top>
      <x:bottom style="thin">
        <x:color rgb="FFC9D3E0"/>
      </x:bottom>
      <x:diagonal/>
    </x:border>
  </x:borders>
  <x:cellStyleXfs count="1">
    <x:xf numFmtId="0" fontId="0" fillId="0" borderId="0"/>
  </x:cellStyleXfs>
  <x:cellXfs count="43">
    <x:xf numFmtId="0" fontId="0" fillId="0" borderId="0" xfId="0"/>
    <x:xf numFmtId="0" fontId="1" fillId="0" borderId="0" xfId="0" applyFont="1"/>
    <x:xf numFmtId="0" fontId="2" fillId="0" borderId="0" xfId="0" applyFont="1"/>
    <x:xf numFmtId="0" fontId="3" fillId="0" borderId="0" xfId="0" applyFont="1"/>
    <x:xf numFmtId="0" fontId="4" fillId="0" borderId="0" xfId="0" applyFont="1"/>
    <x:xf numFmtId="0" fontId="5" fillId="0" borderId="0" xfId="0" applyFont="1"/>
    <x:xf numFmtId="0" fontId="6" fillId="0" borderId="0" xfId="0" applyFont="1"/>
    <x:xf numFmtId="0" fontId="7" fillId="0" borderId="0" xfId="0" applyFont="1"/>
    <x:xf numFmtId="0" fontId="7" fillId="0" borderId="0" xfId="0" applyFont="1" applyAlignment="1">
      <x:alignment horizontal="right"/>
    </x:xf>
    <x:xf numFmtId="164" fontId="0" fillId="0" borderId="0" xfId="0" applyNumberFormat="1"/>
    <x:xf numFmtId="0" fontId="4" fillId="0" borderId="0" xfId="0" applyFont="1" applyAlignment="1">
      <x:alignment horizontal="right"/>
    </x:xf>
    <x:xf numFmtId="0" fontId="0" fillId="0" borderId="0" xfId="0" applyAlignment="1">
      <x:alignment horizontal="right"/>
    </x:xf>
    <x:xf numFmtId="164" fontId="0" fillId="0" borderId="0" xfId="0" applyNumberFormat="1" applyAlignment="1">
      <x:alignment horizontal="right"/>
    </x:xf>
    <x:xf numFmtId="0" fontId="0" fillId="2" borderId="0" xfId="0" applyFill="1"/>
    <x:xf numFmtId="0" fontId="0" fillId="2" borderId="1" xfId="0" applyFill="1" applyBorder="1"/>
    <x:xf numFmtId="0" fontId="0" fillId="2" borderId="2" xfId="0" applyFill="1" applyBorder="1"/>
    <x:xf numFmtId="0" fontId="1" fillId="2" borderId="2" xfId="0" applyFont="1" applyFill="1" applyBorder="1"/>
    <x:xf numFmtId="0" fontId="1" fillId="3" borderId="0" xfId="0" applyFont="1" applyFill="1"/>
    <x:xf numFmtId="0" fontId="8" fillId="3" borderId="0" xfId="0" applyFont="1" applyFill="1"/>
    <x:xf numFmtId="0" fontId="8" fillId="3" borderId="0" xfId="0" applyFont="1" applyFill="1" applyAlignment="1">
      <x:alignment horizontal="center"/>
    </x:xf>
    <x:xf numFmtId="0" fontId="8" fillId="3" borderId="0" xfId="0" applyFont="1" applyFill="1" applyAlignment="1">
      <x:alignment horizontal="center" vertical="center"/>
    </x:xf>
    <x:xf numFmtId="0" fontId="9" fillId="0" borderId="0" xfId="0" applyFont="1" applyAlignment="1">
      <x:alignment horizontal="right"/>
    </x:xf>
    <x:xf numFmtId="0" fontId="10" fillId="0" borderId="0" xfId="0" applyFont="1" applyAlignment="1">
      <x:alignment horizontal="right"/>
    </x:xf>
    <x:xf numFmtId="0" fontId="10" fillId="0" borderId="0" xfId="0" applyFont="1"/>
    <x:xf numFmtId="0" fontId="11" fillId="0" borderId="0" xfId="0" applyFont="1" applyAlignment="1">
      <x:alignment horizontal="right"/>
    </x:xf>
    <x:xf numFmtId="0" fontId="11" fillId="0" borderId="0" xfId="0" applyFont="1"/>
    <x:xf numFmtId="165" fontId="0" fillId="0" borderId="0" xfId="0" applyNumberFormat="1"/>
    <x:xf numFmtId="165" fontId="4" fillId="0" borderId="0" xfId="0" applyNumberFormat="1" applyFont="1" applyAlignment="1">
      <x:alignment horizontal="right"/>
    </x:xf>
    <x:xf numFmtId="165" fontId="11" fillId="0" borderId="0" xfId="0" applyNumberFormat="1" applyFont="1" applyAlignment="1">
      <x:alignment horizontal="right"/>
    </x:xf>
    <x:xf numFmtId="165" fontId="11" fillId="0" borderId="0" xfId="0" applyNumberFormat="1" applyFont="1"/>
    <x:xf numFmtId="0" fontId="0" fillId="0" borderId="0" xfId="0" applyAlignment="1">
      <x:alignment horizontal="center"/>
    </x:xf>
    <x:xf numFmtId="0" fontId="4" fillId="0" borderId="0" xfId="0" applyFont="1" applyAlignment="1">
      <x:alignment horizontal="center"/>
    </x:xf>
    <x:xf numFmtId="0" fontId="4" fillId="0" borderId="1" xfId="0" applyFont="1" applyBorder="1" applyAlignment="1">
      <x:alignment horizontal="center"/>
    </x:xf>
    <x:xf numFmtId="0" fontId="0" fillId="0" borderId="1" xfId="0" applyBorder="1"/>
    <x:xf numFmtId="0" fontId="0" fillId="0" borderId="1" xfId="0" applyBorder="1" applyAlignment="1">
      <x:alignment horizontal="center"/>
    </x:xf>
    <x:xf numFmtId="165" fontId="0" fillId="0" borderId="1" xfId="0" applyNumberFormat="1" applyBorder="1"/>
    <x:xf numFmtId="0" fontId="4" fillId="0" borderId="2" xfId="0" applyFont="1" applyBorder="1" applyAlignment="1">
      <x:alignment horizontal="center"/>
    </x:xf>
    <x:xf numFmtId="0" fontId="0" fillId="0" borderId="2" xfId="0" applyBorder="1"/>
    <x:xf numFmtId="0" fontId="0" fillId="0" borderId="2" xfId="0" applyBorder="1" applyAlignment="1">
      <x:alignment horizontal="center"/>
    </x:xf>
    <x:xf numFmtId="165" fontId="0" fillId="0" borderId="2" xfId="0" applyNumberFormat="1" applyBorder="1"/>
    <x:xf numFmtId="165" fontId="11" fillId="0" borderId="1" xfId="0" applyNumberFormat="1" applyFont="1" applyBorder="1"/>
    <x:xf numFmtId="165" fontId="11" fillId="0" borderId="2" xfId="0" applyNumberFormat="1" applyFont="1" applyBorder="1"/>
    <x:xf numFmtId="0" fontId="12" fillId="0" borderId="0" xfId="0" applyFon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9201ae7f43a43e8" /><Relationship Type="http://schemas.openxmlformats.org/officeDocument/2006/relationships/styles" Target="/xl/styles.xml" Id="R7851e9a9d1904ecd" /><Relationship Type="http://schemas.openxmlformats.org/officeDocument/2006/relationships/sharedStrings" Target="/xl/sharedStrings.xml" Id="Rcc7db82fd631424f" /></Relationships>
</file>

<file path=xl/worksheets/sheet1.xml><?xml version="1.0" encoding="utf-8"?>
<x:worksheet xmlns:x="http://schemas.openxmlformats.org/spreadsheetml/2006/main">
  <x:cols>
    <x:col min="1" max="1" width="5" customWidth="1"/>
    <x:col min="2" max="2" width="24" customWidth="1"/>
    <x:col min="3" max="3" width="30" customWidth="1"/>
    <x:col min="4" max="4" width="8" customWidth="1"/>
    <x:col min="5" max="5" width="8" customWidth="1"/>
    <x:col min="6" max="6" width="13" customWidth="1"/>
    <x:col min="7" max="7" width="14" customWidth="1"/>
    <x:col min="8" max="8" width="14" customWidth="1"/>
  </x:cols>
  <x:sheetData>
    <x:row r="1" ht="30" customHeight="1">
      <x:c r="A1" s="3" t="s">
        <x:v>0</x:v>
      </x:c>
      <x:c r="E1" s="8" t="s">
        <x:v>2</x:v>
      </x:c>
    </x:row>
    <x:row r="2">
      <x:c r="A2" s="5" t="s">
        <x:v>1</x:v>
      </x:c>
      <x:c r="E2" s="10" t="s">
        <x:v>3</x:v>
      </x:c>
      <x:c r="F2" s="10"/>
      <x:c r="G2" s="12" t="s">
        <x:v>4</x:v>
      </x:c>
      <x:c r="H2" s="12"/>
    </x:row>
    <x:row r="3">
      <x:c r="E3" s="10" t="s">
        <x:v>5</x:v>
      </x:c>
      <x:c r="F3" s="10"/>
      <x:c r="G3" s="12">
        <x:v>46290</x:v>
      </x:c>
      <x:c r="H3" s="12"/>
    </x:row>
    <x:row r="4">
      <x:c r="E4" s="10" t="s">
        <x:v>6</x:v>
      </x:c>
      <x:c r="F4" s="10"/>
      <x:c r="G4" s="12">
        <x:v>46320</x:v>
      </x:c>
      <x:c r="H4" s="12"/>
    </x:row>
    <x:row r="6">
      <x:c r="A6" s="16" t="s">
        <x:v>7</x:v>
      </x:c>
      <x:c r="B6" s="15" t="s">
        <x:v>8</x:v>
      </x:c>
      <x:c r="C6" s="15"/>
      <x:c r="D6" s="15"/>
      <x:c r="E6" s="16" t="s">
        <x:v>9</x:v>
      </x:c>
      <x:c r="F6" s="15" t="s">
        <x:v>10</x:v>
      </x:c>
      <x:c r="G6" s="15"/>
      <x:c r="H6" s="15"/>
    </x:row>
    <x:row r="7">
      <x:c r="A7" s="16" t="s">
        <x:v>11</x:v>
      </x:c>
      <x:c r="B7" s="15" t="s">
        <x:v>12</x:v>
      </x:c>
      <x:c r="C7" s="15"/>
      <x:c r="D7" s="15"/>
      <x:c r="E7" s="16" t="s">
        <x:v>13</x:v>
      </x:c>
      <x:c r="F7" s="15" t="s">
        <x:v>14</x:v>
      </x:c>
      <x:c r="G7" s="15"/>
      <x:c r="H7" s="15"/>
    </x:row>
    <x:row r="9" ht="22" customHeight="1">
      <x:c r="A9" s="20" t="s">
        <x:v>15</x:v>
      </x:c>
      <x:c r="B9" s="20" t="s">
        <x:v>16</x:v>
      </x:c>
      <x:c r="C9" s="20" t="s">
        <x:v>17</x:v>
      </x:c>
      <x:c r="D9" s="20" t="s">
        <x:v>18</x:v>
      </x:c>
      <x:c r="E9" s="20" t="s">
        <x:v>19</x:v>
      </x:c>
      <x:c r="F9" s="20" t="s">
        <x:v>20</x:v>
      </x:c>
      <x:c r="G9" s="20" t="s">
        <x:v>21</x:v>
      </x:c>
      <x:c r="H9" s="20" t="s">
        <x:v>22</x:v>
      </x:c>
    </x:row>
    <x:row r="10">
      <x:c r="A10" s="36">
        <x:v>1</x:v>
      </x:c>
      <x:c r="B10" s="37" t="s">
        <x:v>23</x:v>
      </x:c>
      <x:c r="C10" s="37" t="s">
        <x:v>24</x:v>
      </x:c>
      <x:c r="D10" s="38" t="s">
        <x:v>25</x:v>
      </x:c>
      <x:c r="E10" s="38">
        <x:v>1</x:v>
      </x:c>
      <x:c r="F10" s="39">
        <x:v>180000</x:v>
      </x:c>
      <x:c r="G10" s="39">
        <x:f>E10*F10</x:f>
      </x:c>
      <x:c r="H10" s="37"/>
    </x:row>
    <x:row r="11">
      <x:c r="A11" s="36">
        <x:v>2</x:v>
      </x:c>
      <x:c r="B11" s="37" t="s">
        <x:v>26</x:v>
      </x:c>
      <x:c r="C11" s="37" t="s">
        <x:v>27</x:v>
      </x:c>
      <x:c r="D11" s="38" t="s">
        <x:v>28</x:v>
      </x:c>
      <x:c r="E11" s="38">
        <x:v>60</x:v>
      </x:c>
      <x:c r="F11" s="39">
        <x:v>2800</x:v>
      </x:c>
      <x:c r="G11" s="39">
        <x:f>E11*F11</x:f>
      </x:c>
      <x:c r="H11" s="37"/>
    </x:row>
    <x:row r="12">
      <x:c r="A12" s="36">
        <x:v>3</x:v>
      </x:c>
      <x:c r="B12" s="37" t="s">
        <x:v>29</x:v>
      </x:c>
      <x:c r="C12" s="37" t="s">
        <x:v>30</x:v>
      </x:c>
      <x:c r="D12" s="38" t="s">
        <x:v>31</x:v>
      </x:c>
      <x:c r="E12" s="38">
        <x:v>1</x:v>
      </x:c>
      <x:c r="F12" s="39">
        <x:v>36000</x:v>
      </x:c>
      <x:c r="G12" s="39">
        <x:f>E12*F12</x:f>
      </x:c>
      <x:c r="H12" s="37"/>
    </x:row>
    <x:row r="13">
      <x:c r="A13" s="36">
        <x:v>4</x:v>
      </x:c>
      <x:c r="B13" s="37" t="s">
        <x:v>32</x:v>
      </x:c>
      <x:c r="C13" s="37" t="s">
        <x:v>33</x:v>
      </x:c>
      <x:c r="D13" s="38" t="s">
        <x:v>34</x:v>
      </x:c>
      <x:c r="E13" s="38">
        <x:v>1</x:v>
      </x:c>
      <x:c r="F13" s="39">
        <x:v>24000</x:v>
      </x:c>
      <x:c r="G13" s="39">
        <x:f>E13*F13</x:f>
      </x:c>
      <x:c r="H13" s="37"/>
    </x:row>
    <x:row r="14">
      <x:c r="A14" s="36">
        <x:v>5</x:v>
      </x:c>
      <x:c r="B14" s="37" t="s">
        <x:v>35</x:v>
      </x:c>
      <x:c r="C14" s="37" t="s">
        <x:v>36</x:v>
      </x:c>
      <x:c r="D14" s="38" t="s">
        <x:v>37</x:v>
      </x:c>
      <x:c r="E14" s="38">
        <x:v>3</x:v>
      </x:c>
      <x:c r="F14" s="39">
        <x:v>6000</x:v>
      </x:c>
      <x:c r="G14" s="39">
        <x:f>E14*F14</x:f>
      </x:c>
      <x:c r="H14" s="37" t="s">
        <x:v>38</x:v>
      </x:c>
    </x:row>
    <x:row r="15">
      <x:c r="A15" s="36">
        <x:v>6</x:v>
      </x:c>
      <x:c r="B15" s="37" t="s">
        <x:v>39</x:v>
      </x:c>
      <x:c r="C15" s="37" t="s">
        <x:v>40</x:v>
      </x:c>
      <x:c r="D15" s="38" t="s">
        <x:v>41</x:v>
      </x:c>
      <x:c r="E15" s="38">
        <x:v>12</x:v>
      </x:c>
      <x:c r="F15" s="39">
        <x:v>4500</x:v>
      </x:c>
      <x:c r="G15" s="39">
        <x:f>E15*F15</x:f>
      </x:c>
      <x:c r="H15" s="37" t="s">
        <x:v>42</x:v>
      </x:c>
    </x:row>
    <x:row r="16">
      <x:c r="F16" s="27" t="s">
        <x:v>43</x:v>
      </x:c>
      <x:c r="G16" s="39">
        <x:f>SUM(G10:G15)</x:f>
      </x:c>
    </x:row>
    <x:row r="17">
      <x:c r="F17" s="27" t="s">
        <x:v>44</x:v>
      </x:c>
      <x:c r="G17" s="39">
        <x:f>-G16*0.05</x:f>
      </x:c>
    </x:row>
    <x:row r="18">
      <x:c r="F18" s="27" t="s">
        <x:v>45</x:v>
      </x:c>
      <x:c r="G18" s="39">
        <x:f>G16+G17</x:f>
      </x:c>
    </x:row>
    <x:row r="19">
      <x:c r="F19" s="27" t="s">
        <x:v>46</x:v>
      </x:c>
      <x:c r="G19" s="39">
        <x:f>ROUND(G18*0.13,2)</x:f>
      </x:c>
    </x:row>
    <x:row r="20">
      <x:c r="F20" s="28" t="s">
        <x:v>47</x:v>
      </x:c>
      <x:c r="G20" s="41">
        <x:f>G18+G19</x:f>
      </x:c>
    </x:row>
    <x:row r="22">
      <x:c r="A22" s="23" t="s">
        <x:v>48</x:v>
      </x:c>
    </x:row>
    <x:row r="23">
      <x:c r="A23" s="42" t="s">
        <x:v>49</x:v>
      </x:c>
      <x:c r="B23" s="42"/>
      <x:c r="C23" s="42"/>
      <x:c r="D23" s="42"/>
      <x:c r="E23" s="42"/>
      <x:c r="F23" s="42"/>
      <x:c r="G23" s="42"/>
      <x:c r="H23" s="42"/>
    </x:row>
    <x:row r="24">
      <x:c r="A24" s="42" t="s">
        <x:v>50</x:v>
      </x:c>
      <x:c r="B24" s="42"/>
      <x:c r="C24" s="42"/>
      <x:c r="D24" s="42"/>
      <x:c r="E24" s="42"/>
      <x:c r="F24" s="42"/>
      <x:c r="G24" s="42"/>
      <x:c r="H24" s="42"/>
    </x:row>
    <x:row r="25">
      <x:c r="A25" s="42" t="s">
        <x:v>51</x:v>
      </x:c>
      <x:c r="B25" s="42"/>
      <x:c r="C25" s="42"/>
      <x:c r="D25" s="42"/>
      <x:c r="E25" s="42"/>
      <x:c r="F25" s="42"/>
      <x:c r="G25" s="42"/>
      <x:c r="H25" s="42"/>
    </x:row>
    <x:row r="27">
      <x:c r="A27" t="s">
        <x:v>52</x:v>
      </x:c>
      <x:c r="B27"/>
      <x:c r="C27"/>
      <x:c r="D27"/>
      <x:c r="E27" t="s">
        <x:v>53</x:v>
      </x:c>
      <x:c r="F27"/>
      <x:c r="G27"/>
      <x:c r="H27"/>
    </x:row>
  </x:sheetData>
  <x:mergeCells count="18">
    <x:mergeCell ref="A1:D1"/>
    <x:mergeCell ref="A2:D2"/>
    <x:mergeCell ref="E1:H1"/>
    <x:mergeCell ref="E2:F2"/>
    <x:mergeCell ref="G2:H2"/>
    <x:mergeCell ref="E3:F3"/>
    <x:mergeCell ref="G3:H3"/>
    <x:mergeCell ref="E4:F4"/>
    <x:mergeCell ref="G4:H4"/>
    <x:mergeCell ref="B6:D6"/>
    <x:mergeCell ref="F6:H6"/>
    <x:mergeCell ref="B7:D7"/>
    <x:mergeCell ref="F7:H7"/>
    <x:mergeCell ref="A23:H23"/>
    <x:mergeCell ref="A24:H24"/>
    <x:mergeCell ref="A25:H25"/>
    <x:mergeCell ref="A27:D27"/>
    <x:mergeCell ref="E27:H27"/>
  </x:mergeCells>
</x:worksheet>
</file>