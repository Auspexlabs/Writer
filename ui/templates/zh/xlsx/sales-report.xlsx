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ef674ff1241e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2026销售" sheetId="1" r:id="Ra979c40b15ca42a5"/>
  </x:sheets>
  <x:calcPr calcId="0" fullCalcOnLoad="1"/>
</x:workbook>
</file>

<file path=xl/sharedStrings.xml><?xml version="1.0" encoding="utf-8"?>
<x:sst xmlns:x="http://schemas.openxmlformats.org/spreadsheetml/2006/main" count="44" uniqueCount="44">
  <x:si>
    <x:t xml:space="preserve">2026 年销售报表（万元）</x:t>
  </x:si>
  <x:si>
    <x:t xml:space="preserve">年度合计</x:t>
  </x:si>
  <x:si>
    <x:t xml:space="preserve">月均</x:t>
  </x:si>
  <x:si>
    <x:t xml:space="preserve">最高月份</x:t>
  </x:si>
  <x:si>
    <x:t xml:space="preserve">最佳区域</x:t>
  </x:si>
  <x:si>
    <x:t xml:space="preserve">区域</x:t>
  </x:si>
  <x:si>
    <x:t xml:space="preserve">1月</x:t>
  </x:si>
  <x:si>
    <x:t xml:space="preserve">2月</x:t>
  </x:si>
  <x:si>
    <x:t xml:space="preserve">3月</x:t>
  </x:si>
  <x:si>
    <x:t xml:space="preserve">4月</x:t>
  </x:si>
  <x:si>
    <x:t xml:space="preserve">5月</x:t>
  </x:si>
  <x:si>
    <x:t xml:space="preserve">6月</x:t>
  </x:si>
  <x:si>
    <x:t xml:space="preserve">7月</x:t>
  </x:si>
  <x:si>
    <x:t xml:space="preserve">8月</x:t>
  </x:si>
  <x:si>
    <x:t xml:space="preserve">9月</x:t>
  </x:si>
  <x:si>
    <x:t xml:space="preserve">10月</x:t>
  </x:si>
  <x:si>
    <x:t xml:space="preserve">11月</x:t>
  </x:si>
  <x:si>
    <x:t xml:space="preserve">12月</x:t>
  </x:si>
  <x:si>
    <x:t xml:space="preserve">合计</x:t>
  </x:si>
  <x:si>
    <x:t xml:space="preserve">占比</x:t>
  </x:si>
  <x:si>
    <x:t xml:space="preserve">华东</x:t>
  </x:si>
  <x:si>
    <x:t xml:space="preserve">华北</x:t>
  </x:si>
  <x:si>
    <x:t xml:space="preserve">华南</x:t>
  </x:si>
  <x:si>
    <x:t xml:space="preserve">西南</x:t>
  </x:si>
  <x:si>
    <x:t xml:space="preserve">华中</x:t>
  </x:si>
  <x:si>
    <x:t xml:space="preserve">合计</x:t>
  </x:si>
  <x:si>
    <x:t xml:space="preserve">环比</x:t>
  </x:si>
  <x:si>
    <x:t xml:space="preserve">销售人员完成情况</x:t>
  </x:si>
  <x:si>
    <x:t xml:space="preserve">姓名</x:t>
  </x:si>
  <x:si>
    <x:t xml:space="preserve">区域</x:t>
  </x:si>
  <x:si>
    <x:t xml:space="preserve">年度目标</x:t>
  </x:si>
  <x:si>
    <x:t xml:space="preserve">实际</x:t>
  </x:si>
  <x:si>
    <x:t xml:space="preserve">完成率</x:t>
  </x:si>
  <x:si>
    <x:t xml:space="preserve">排名</x:t>
  </x:si>
  <x:si>
    <x:t xml:space="preserve">李明</x:t>
  </x:si>
  <x:si>
    <x:t xml:space="preserve">华东</x:t>
  </x:si>
  <x:si>
    <x:t xml:space="preserve">王芳</x:t>
  </x:si>
  <x:si>
    <x:t xml:space="preserve">华北</x:t>
  </x:si>
  <x:si>
    <x:t xml:space="preserve">张伟</x:t>
  </x:si>
  <x:si>
    <x:t xml:space="preserve">华南</x:t>
  </x:si>
  <x:si>
    <x:t xml:space="preserve">陈静</x:t>
  </x:si>
  <x:si>
    <x:t xml:space="preserve">西南</x:t>
  </x:si>
  <x:si>
    <x:t xml:space="preserve">刘洋</x:t>
  </x:si>
  <x:si>
    <x:t xml:space="preserve">华中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</x:si>
</x:sst>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9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A4492F"/>
      <x:name val="Calibri"/>
      <x:family val="2"/>
    </x:font>
    <x:font>
      <x:sz val="11"/>
      <x:color rgb="FF7A5F50"/>
      <x:name val="Calibri"/>
      <x:family val="2"/>
    </x:font>
    <x:font>
      <x:sz val="10"/>
      <x:color rgb="FF7A5F50"/>
      <x:name val="Calibri"/>
      <x:family val="2"/>
    </x:font>
    <x:font>
      <x:b/>
      <x:sz val="11"/>
      <x:color rgb="FFFFFFFF"/>
      <x:name val="Calibri"/>
      <x:family val="2"/>
    </x:font>
    <x:font>
      <x:b/>
      <x:sz val="12"/>
      <x:color rgb="FF000000"/>
      <x:name val="Calibri"/>
      <x:family val="2"/>
    </x:font>
    <x:font>
      <x:b/>
      <x:sz val="12"/>
      <x:color rgb="FFA4492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4492F"/>
        <x:bgColor indexed="64"/>
      </x:patternFill>
    </x:fill>
    <x:fill>
      <x:patternFill patternType="solid">
        <x:fgColor rgb="FFF6EEE8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E4D2C5"/>
      </x:left>
      <x:right style="thin">
        <x:color rgb="FFE4D2C5"/>
      </x:right>
      <x:top style="thin">
        <x:color rgb="FFE4D2C5"/>
      </x:top>
      <x:bottom style="thin">
        <x:color rgb="FFE4D2C5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3" fontId="3" fillId="0" borderId="0" xfId="0" applyNumberFormat="1" applyFont="1"/>
    <x:xf numFmtId="3" fontId="3" fillId="0" borderId="0" xfId="0" applyNumberFormat="1" applyFont="1" applyAlignment="1">
      <x:alignment horizontal="left"/>
    </x:xf>
    <x:xf numFmtId="0" fontId="3" fillId="0" borderId="0" xfId="0" applyFont="1" applyAlignment="1">
      <x:alignment horizontal="left"/>
    </x:xf>
    <x:xf numFmtId="0" fontId="1" fillId="2" borderId="0" xfId="0" applyFont="1" applyFill="1"/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 applyAlignment="1">
      <x:alignment horizontal="center" vertical="center"/>
    </x:xf>
    <x:xf numFmtId="3" fontId="0" fillId="0" borderId="0" xfId="0" applyNumberFormat="1"/>
    <x:xf numFmtId="164" fontId="0" fillId="0" borderId="0" xfId="0" applyNumberFormat="1"/>
    <x:xf numFmtId="3" fontId="1" fillId="0" borderId="0" xfId="0" applyNumberFormat="1" applyFont="1"/>
    <x:xf numFmtId="164" fontId="1" fillId="0" borderId="0" xfId="0" applyNumberFormat="1" applyFont="1"/>
    <x:xf numFmtId="0" fontId="1" fillId="3" borderId="0" xfId="0" applyFont="1" applyFill="1"/>
    <x:xf numFmtId="3" fontId="1" fillId="3" borderId="0" xfId="0" applyNumberFormat="1" applyFont="1" applyFill="1"/>
    <x:xf numFmtId="164" fontId="1" fillId="3" borderId="0" xfId="0" applyNumberFormat="1" applyFont="1" applyFill="1"/>
    <x:xf numFmtId="164" fontId="4" fillId="0" borderId="0" xfId="0" applyNumberFormat="1" applyFont="1"/>
    <x:xf numFmtId="164" fontId="5" fillId="0" borderId="0" xfId="0" applyNumberFormat="1" applyFont="1"/>
    <x:xf numFmtId="0" fontId="0" fillId="0" borderId="1" xfId="0" applyBorder="1"/>
    <x:xf numFmtId="3" fontId="0" fillId="0" borderId="1" xfId="0" applyNumberFormat="1" applyBorder="1"/>
    <x:xf numFmtId="164" fontId="0" fillId="0" borderId="1" xfId="0" applyNumberFormat="1" applyBorder="1"/>
    <x:xf numFmtId="0" fontId="1" fillId="3" borderId="1" xfId="0" applyFont="1" applyFill="1" applyBorder="1"/>
    <x:xf numFmtId="3" fontId="1" fillId="3" borderId="1" xfId="0" applyNumberFormat="1" applyFont="1" applyFill="1" applyBorder="1"/>
    <x:xf numFmtId="164" fontId="1" fillId="3" borderId="1" xfId="0" applyNumberFormat="1" applyFont="1" applyFill="1" applyBorder="1"/>
    <x:xf numFmtId="0" fontId="0" fillId="0" borderId="2" xfId="0" applyBorder="1"/>
    <x:xf numFmtId="3" fontId="0" fillId="0" borderId="2" xfId="0" applyNumberFormat="1" applyBorder="1"/>
    <x:xf numFmtId="164" fontId="0" fillId="0" borderId="2" xfId="0" applyNumberFormat="1" applyBorder="1"/>
    <x:xf numFmtId="0" fontId="1" fillId="3" borderId="2" xfId="0" applyFont="1" applyFill="1" applyBorder="1"/>
    <x:xf numFmtId="3" fontId="1" fillId="3" borderId="2" xfId="0" applyNumberFormat="1" applyFont="1" applyFill="1" applyBorder="1"/>
    <x:xf numFmtId="164" fontId="1" fillId="3" borderId="2" xfId="0" applyNumberFormat="1" applyFont="1" applyFill="1" applyBorder="1"/>
    <x:xf numFmtId="0" fontId="7" fillId="0" borderId="0" xfId="0" applyFont="1"/>
    <x:xf numFmtId="0" fontId="8" fillId="0" borderId="0" xfId="0" applyFont="1"/>
    <x:xf numFmtId="0" fontId="0" fillId="0" borderId="0" xfId="0" applyAlignment="1">
      <x:alignment horizontal="center"/>
    </x:xf>
    <x:xf numFmtId="0" fontId="6" fillId="2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/>
    </x:xf>
    <x:xf numFmtId="0" fontId="6" fillId="2" borderId="2" xfId="0" applyFont="1" applyFill="1" applyBorder="1" applyAlignment="1">
      <x:alignment horizontal="center" vertical="center"/>
    </x:xf>
    <x:xf numFmtId="0" fontId="0" fillId="0" borderId="2" xfId="0" applyBorder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79c40b15ca42a5" /><Relationship Type="http://schemas.openxmlformats.org/officeDocument/2006/relationships/styles" Target="/xl/styles.xml" Id="R04a60327826d4717" /><Relationship Type="http://schemas.openxmlformats.org/officeDocument/2006/relationships/sharedStrings" Target="/xl/sharedStrings.xml" Id="Rbc30d3e4428044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74148ac4f24219" /><Relationship Type="http://schemas.openxmlformats.org/officeDocument/2006/relationships/chart" Target="/xl/drawings/charts/chart2.xml" Id="Rd0c5ba25e2cf4f00" /></Relationships>
</file>

<file path=xl/drawings/charts/chart1.xml><?xml version="1.0" encoding="utf-8"?>
<c:chartSpace xmlns:c="http://schemas.openxmlformats.org/drawingml/2006/chart" xmlns:a="http://schemas.openxmlformats.org/drawingml/2006/main">
  <c:roundedCorners val="0"/>
  <c:chart>
    <c:title>
      <c:tx>
        <c:rich>
          <a:bodyPr/>
          <a:lstStyle/>
          <a:p>
            <a:pPr>
              <a:defRPr/>
            </a:pPr>
            <a:r>
              <a:t>月度销售趋势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'2026销售'!$A$12</c:f>
              <c:strCache>
                <c:ptCount val="1"/>
                <c:pt idx="0">
                  <c:v>合计</c:v>
                </c:pt>
              </c:strCache>
            </c:strRef>
          </c:tx>
          <c:cat>
            <c:strRef>
              <c:f>'2026销售'!$B$6:$M$6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'2026销售'!$B$12:$M$12</c:f>
              <c:numCache>
                <c:formatCode>General</c:formatCode>
                <c:ptCount val="12"/>
              </c:numCache>
            </c:numRef>
          </c:val>
          <c:smooth val="0"/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</c:chart>
</c:chartSpace>
</file>

<file path=xl/drawings/charts/chart2.xml><?xml version="1.0" encoding="utf-8"?>
<c:chartSpace xmlns:c="http://schemas.openxmlformats.org/drawingml/2006/chart" xmlns:a="http://schemas.openxmlformats.org/drawingml/2006/main">
  <c:roundedCorners val="0"/>
  <c:chart>
    <c:title>
      <c:tx>
        <c:rich>
          <a:bodyPr/>
          <a:lstStyle/>
          <a:p>
            <a:pPr>
              <a:defRPr/>
            </a:pPr>
            <a:r>
              <a:t>区域全年销售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'2026销售'!$N$6</c:f>
              <c:strCache>
                <c:ptCount val="1"/>
                <c:pt idx="0">
                  <c:v>合计</c:v>
                </c:pt>
              </c:strCache>
            </c:strRef>
          </c:tx>
          <c:invertIfNegative val="0"/>
          <c:cat>
            <c:strRef>
              <c:f>'2026销售'!$A$7:$A$11</c:f>
              <c:strCache>
                <c:ptCount val="5"/>
                <c:pt idx="0">
                  <c:v>华东</c:v>
                </c:pt>
                <c:pt idx="1">
                  <c:v>华北</c:v>
                </c:pt>
                <c:pt idx="2">
                  <c:v>华南</c:v>
                </c:pt>
                <c:pt idx="3">
                  <c:v>西南</c:v>
                </c:pt>
                <c:pt idx="4">
                  <c:v>华中</c:v>
                </c:pt>
              </c:strCache>
            </c:strRef>
          </c:cat>
          <c:val>
            <c:numRef>
              <c:f>'2026销售'!$N$7:$N$11</c:f>
              <c:numCache>
                <c:formatCode>General</c:formatCode>
                <c:ptCount val="5"/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</c:chart>
</c:chartSpace>
</file>

<file path=xl/drawings/drawing1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8</xdr:col>
      <xdr:colOff>595200</xdr:colOff>
      <xdr:row>14</xdr:row>
      <xdr:rowOff>98800</xdr:rowOff>
    </xdr:from>
    <xdr:to>
      <xdr:col>17</xdr:col>
      <xdr:colOff>508800</xdr:colOff>
      <xdr:row>28</xdr:row>
      <xdr:rowOff>131800</xdr:rowOff>
    </xdr:to>
    <xdr:graphicFrame macro=""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74148ac4f24219"/>
        </a:graphicData>
      </a:graphic>
    </xdr:graphicFrame>
    <xdr:clientData/>
  </xdr:twoCellAnchor>
  <xdr:twoCellAnchor>
    <xdr:from>
      <xdr:col>8</xdr:col>
      <xdr:colOff>595200</xdr:colOff>
      <xdr:row>29</xdr:row>
      <xdr:rowOff>121300</xdr:rowOff>
    </xdr:from>
    <xdr:to>
      <xdr:col>17</xdr:col>
      <xdr:colOff>508800</xdr:colOff>
      <xdr:row>41</xdr:row>
      <xdr:rowOff>175300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d0c5ba25e2cf4f00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8dee0e59a9411b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workbookViewId="0">
      <x:pane xSplit="1" ySplit="6" topLeftCell="B7" activePane="bottomRight" state="frozen"/>
    </x:sheetView>
  </x:sheetViews>
  <x:cols>
    <x:col min="1" max="1" width="12" customWidth="1"/>
    <x:col min="2" max="2" width="7" customWidth="1"/>
    <x:col min="3" max="3" width="7" customWidth="1"/>
    <x:col min="4" max="4" width="7" customWidth="1"/>
    <x:col min="5" max="5" width="7" customWidth="1"/>
    <x:col min="6" max="6" width="7" customWidth="1"/>
    <x:col min="7" max="7" width="7" customWidth="1"/>
    <x:col min="8" max="8" width="7" customWidth="1"/>
    <x:col min="9" max="9" width="7" customWidth="1"/>
    <x:col min="10" max="10" width="7" customWidth="1"/>
    <x:col min="11" max="11" width="7" customWidth="1"/>
    <x:col min="12" max="12" width="7" customWidth="1"/>
    <x:col min="13" max="13" width="7" customWidth="1"/>
    <x:col min="14" max="14" width="9" customWidth="1"/>
    <x:col min="15" max="15" width="8" customWidth="1"/>
  </x:cols>
  <x:sheetData>
    <x:row r="1" ht="30" customHeight="1">
      <x:c r="A1" s="3" t="s">
        <x:v>0</x:v>
      </x:c>
    </x:row>
    <x:row r="3">
      <x:c r="A3" s="5" t="s">
        <x:v>1</x:v>
      </x:c>
      <x:c r="C3" s="5" t="s">
        <x:v>2</x:v>
      </x:c>
      <x:c r="E3" s="5" t="s">
        <x:v>3</x:v>
      </x:c>
      <x:c r="G3" s="5" t="s">
        <x:v>4</x:v>
      </x:c>
    </x:row>
    <x:row r="4" ht="26" customHeight="1">
      <x:c r="A4" s="7">
        <x:f>N12</x:f>
      </x:c>
      <x:c r="C4" s="7">
        <x:f>AVERAGE(B12:M12)</x:f>
      </x:c>
      <x:c r="E4" s="8">
        <x:f>INDEX(B6:M6,MATCH(MAX(B12:M12),B12:M12,0))</x:f>
      </x:c>
      <x:c r="G4" s="8">
        <x:f>INDEX(A7:A11,MATCH(MAX(N7:N11),N7:N11,0))</x:f>
      </x:c>
    </x:row>
    <x:row r="6" ht="22" customHeight="1">
      <x:c r="A6" s="12" t="s">
        <x:v>5</x:v>
      </x:c>
      <x:c r="B6" s="12" t="s">
        <x:v>6</x:v>
      </x:c>
      <x:c r="C6" s="12" t="s">
        <x:v>7</x:v>
      </x:c>
      <x:c r="D6" s="12" t="s">
        <x:v>8</x:v>
      </x:c>
      <x:c r="E6" s="12" t="s">
        <x:v>9</x:v>
      </x:c>
      <x:c r="F6" s="12" t="s">
        <x:v>10</x:v>
      </x:c>
      <x:c r="G6" s="12" t="s">
        <x:v>11</x:v>
      </x:c>
      <x:c r="H6" s="12" t="s">
        <x:v>12</x:v>
      </x:c>
      <x:c r="I6" s="12" t="s">
        <x:v>13</x:v>
      </x:c>
      <x:c r="J6" s="12" t="s">
        <x:v>14</x:v>
      </x:c>
      <x:c r="K6" s="12" t="s">
        <x:v>15</x:v>
      </x:c>
      <x:c r="L6" s="12" t="s">
        <x:v>16</x:v>
      </x:c>
      <x:c r="M6" s="12" t="s">
        <x:v>17</x:v>
      </x:c>
      <x:c r="N6" s="12" t="s">
        <x:v>18</x:v>
      </x:c>
      <x:c r="O6" s="12" t="s">
        <x:v>19</x:v>
      </x:c>
    </x:row>
    <x:row r="7">
      <x:c r="A7" s="28" t="s">
        <x:v>20</x:v>
      </x:c>
      <x:c r="B7" s="29">
        <x:v>186</x:v>
      </x:c>
      <x:c r="C7" s="29">
        <x:v>142</x:v>
      </x:c>
      <x:c r="D7" s="29">
        <x:v>205</x:v>
      </x:c>
      <x:c r="E7" s="29">
        <x:v>198</x:v>
      </x:c>
      <x:c r="F7" s="29">
        <x:v>221</x:v>
      </x:c>
      <x:c r="G7" s="29">
        <x:v>240</x:v>
      </x:c>
      <x:c r="H7" s="29">
        <x:v>232</x:v>
      </x:c>
      <x:c r="I7" s="29">
        <x:v>228</x:v>
      </x:c>
      <x:c r="J7" s="29">
        <x:v>251</x:v>
      </x:c>
      <x:c r="K7" s="29">
        <x:v>268</x:v>
      </x:c>
      <x:c r="L7" s="29">
        <x:v>302</x:v>
      </x:c>
      <x:c r="M7" s="29">
        <x:v>335</x:v>
      </x:c>
      <x:c r="N7" s="29">
        <x:f>SUM(B7:M7)</x:f>
      </x:c>
      <x:c r="O7" s="30">
        <x:f>IFERROR(N7/$N$12,0)</x:f>
      </x:c>
    </x:row>
    <x:row r="8">
      <x:c r="A8" s="28" t="s">
        <x:v>21</x:v>
      </x:c>
      <x:c r="B8" s="29">
        <x:v>132</x:v>
      </x:c>
      <x:c r="C8" s="29">
        <x:v>98</x:v>
      </x:c>
      <x:c r="D8" s="29">
        <x:v>141</x:v>
      </x:c>
      <x:c r="E8" s="29">
        <x:v>150</x:v>
      </x:c>
      <x:c r="F8" s="29">
        <x:v>163</x:v>
      </x:c>
      <x:c r="G8" s="29">
        <x:v>171</x:v>
      </x:c>
      <x:c r="H8" s="29">
        <x:v>168</x:v>
      </x:c>
      <x:c r="I8" s="29">
        <x:v>175</x:v>
      </x:c>
      <x:c r="J8" s="29">
        <x:v>180</x:v>
      </x:c>
      <x:c r="K8" s="29">
        <x:v>194</x:v>
      </x:c>
      <x:c r="L8" s="29">
        <x:v>226</x:v>
      </x:c>
      <x:c r="M8" s="29">
        <x:v>248</x:v>
      </x:c>
      <x:c r="N8" s="29">
        <x:f>SUM(B8:M8)</x:f>
      </x:c>
      <x:c r="O8" s="30">
        <x:f>IFERROR(N8/$N$12,0)</x:f>
      </x:c>
    </x:row>
    <x:row r="9">
      <x:c r="A9" s="28" t="s">
        <x:v>22</x:v>
      </x:c>
      <x:c r="B9" s="29">
        <x:v>121</x:v>
      </x:c>
      <x:c r="C9" s="29">
        <x:v>90</x:v>
      </x:c>
      <x:c r="D9" s="29">
        <x:v>128</x:v>
      </x:c>
      <x:c r="E9" s="29">
        <x:v>139</x:v>
      </x:c>
      <x:c r="F9" s="29">
        <x:v>146</x:v>
      </x:c>
      <x:c r="G9" s="29">
        <x:v>158</x:v>
      </x:c>
      <x:c r="H9" s="29">
        <x:v>165</x:v>
      </x:c>
      <x:c r="I9" s="29">
        <x:v>160</x:v>
      </x:c>
      <x:c r="J9" s="29">
        <x:v>172</x:v>
      </x:c>
      <x:c r="K9" s="29">
        <x:v>181</x:v>
      </x:c>
      <x:c r="L9" s="29">
        <x:v>204</x:v>
      </x:c>
      <x:c r="M9" s="29">
        <x:v>230</x:v>
      </x:c>
      <x:c r="N9" s="29">
        <x:f>SUM(B9:M9)</x:f>
      </x:c>
      <x:c r="O9" s="30">
        <x:f>IFERROR(N9/$N$12,0)</x:f>
      </x:c>
    </x:row>
    <x:row r="10">
      <x:c r="A10" s="28" t="s">
        <x:v>23</x:v>
      </x:c>
      <x:c r="B10" s="29">
        <x:v>74</x:v>
      </x:c>
      <x:c r="C10" s="29">
        <x:v>55</x:v>
      </x:c>
      <x:c r="D10" s="29">
        <x:v>82</x:v>
      </x:c>
      <x:c r="E10" s="29">
        <x:v>88</x:v>
      </x:c>
      <x:c r="F10" s="29">
        <x:v>95</x:v>
      </x:c>
      <x:c r="G10" s="29">
        <x:v>101</x:v>
      </x:c>
      <x:c r="H10" s="29">
        <x:v>99</x:v>
      </x:c>
      <x:c r="I10" s="29">
        <x:v>108</x:v>
      </x:c>
      <x:c r="J10" s="29">
        <x:v>112</x:v>
      </x:c>
      <x:c r="K10" s="29">
        <x:v>120</x:v>
      </x:c>
      <x:c r="L10" s="29">
        <x:v>133</x:v>
      </x:c>
      <x:c r="M10" s="29">
        <x:v>150</x:v>
      </x:c>
      <x:c r="N10" s="29">
        <x:f>SUM(B10:M10)</x:f>
      </x:c>
      <x:c r="O10" s="30">
        <x:f>IFERROR(N10/$N$12,0)</x:f>
      </x:c>
    </x:row>
    <x:row r="11">
      <x:c r="A11" s="28" t="s">
        <x:v>24</x:v>
      </x:c>
      <x:c r="B11" s="29">
        <x:v>66</x:v>
      </x:c>
      <x:c r="C11" s="29">
        <x:v>48</x:v>
      </x:c>
      <x:c r="D11" s="29">
        <x:v>70</x:v>
      </x:c>
      <x:c r="E11" s="29">
        <x:v>77</x:v>
      </x:c>
      <x:c r="F11" s="29">
        <x:v>84</x:v>
      </x:c>
      <x:c r="G11" s="29">
        <x:v>90</x:v>
      </x:c>
      <x:c r="H11" s="29">
        <x:v>88</x:v>
      </x:c>
      <x:c r="I11" s="29">
        <x:v>95</x:v>
      </x:c>
      <x:c r="J11" s="29">
        <x:v>101</x:v>
      </x:c>
      <x:c r="K11" s="29">
        <x:v>106</x:v>
      </x:c>
      <x:c r="L11" s="29">
        <x:v>122</x:v>
      </x:c>
      <x:c r="M11" s="29">
        <x:v>138</x:v>
      </x:c>
      <x:c r="N11" s="29">
        <x:f>SUM(B11:M11)</x:f>
      </x:c>
      <x:c r="O11" s="30">
        <x:f>IFERROR(N11/$N$12,0)</x:f>
      </x:c>
    </x:row>
    <x:row r="12">
      <x:c r="A12" s="31" t="s">
        <x:v>25</x:v>
      </x:c>
      <x:c r="B12" s="32">
        <x:f>SUM(B7:B11)</x:f>
      </x:c>
      <x:c r="C12" s="32">
        <x:f>SUM(C7:C11)</x:f>
      </x:c>
      <x:c r="D12" s="32">
        <x:f>SUM(D7:D11)</x:f>
      </x:c>
      <x:c r="E12" s="32">
        <x:f>SUM(E7:E11)</x:f>
      </x:c>
      <x:c r="F12" s="32">
        <x:f>SUM(F7:F11)</x:f>
      </x:c>
      <x:c r="G12" s="32">
        <x:f>SUM(G7:G11)</x:f>
      </x:c>
      <x:c r="H12" s="32">
        <x:f>SUM(H7:H11)</x:f>
      </x:c>
      <x:c r="I12" s="32">
        <x:f>SUM(I7:I11)</x:f>
      </x:c>
      <x:c r="J12" s="32">
        <x:f>SUM(J7:J11)</x:f>
      </x:c>
      <x:c r="K12" s="32">
        <x:f>SUM(K7:K11)</x:f>
      </x:c>
      <x:c r="L12" s="32">
        <x:f>SUM(L7:L11)</x:f>
      </x:c>
      <x:c r="M12" s="32">
        <x:f>SUM(M7:M11)</x:f>
      </x:c>
      <x:c r="N12" s="32">
        <x:f>SUM(N7:N11)</x:f>
      </x:c>
      <x:c r="O12" s="33">
        <x:f>SUM(O7:O11)</x:f>
      </x:c>
    </x:row>
    <x:row r="13">
      <x:c r="A13" s="21" t="s">
        <x:v>26</x:v>
      </x:c>
      <x:c r="B13" s="21"/>
      <x:c r="C13" s="21">
        <x:f>IFERROR(C12/B12-1,"")</x:f>
      </x:c>
      <x:c r="D13" s="21">
        <x:f>IFERROR(D12/C12-1,"")</x:f>
      </x:c>
      <x:c r="E13" s="21">
        <x:f>IFERROR(E12/D12-1,"")</x:f>
      </x:c>
      <x:c r="F13" s="21">
        <x:f>IFERROR(F12/E12-1,"")</x:f>
      </x:c>
      <x:c r="G13" s="21">
        <x:f>IFERROR(G12/F12-1,"")</x:f>
      </x:c>
      <x:c r="H13" s="21">
        <x:f>IFERROR(H12/G12-1,"")</x:f>
      </x:c>
      <x:c r="I13" s="21">
        <x:f>IFERROR(I12/H12-1,"")</x:f>
      </x:c>
      <x:c r="J13" s="21">
        <x:f>IFERROR(J12/I12-1,"")</x:f>
      </x:c>
      <x:c r="K13" s="21">
        <x:f>IFERROR(K12/J12-1,"")</x:f>
      </x:c>
      <x:c r="L13" s="21">
        <x:f>IFERROR(L12/K12-1,"")</x:f>
      </x:c>
      <x:c r="M13" s="21">
        <x:f>IFERROR(M12/L12-1,"")</x:f>
      </x:c>
    </x:row>
    <x:row r="15">
      <x:c r="A15" s="35" t="s">
        <x:v>27</x:v>
      </x:c>
    </x:row>
    <x:row r="16">
      <x:c r="A16" s="39" t="s">
        <x:v>28</x:v>
      </x:c>
      <x:c r="B16" s="39" t="s">
        <x:v>29</x:v>
      </x:c>
      <x:c r="C16" s="39" t="s">
        <x:v>30</x:v>
      </x:c>
      <x:c r="D16" s="39" t="s">
        <x:v>31</x:v>
      </x:c>
      <x:c r="E16" s="39" t="s">
        <x:v>32</x:v>
      </x:c>
      <x:c r="F16" s="39" t="s">
        <x:v>33</x:v>
      </x:c>
    </x:row>
    <x:row r="17">
      <x:c r="A17" s="28" t="s">
        <x:v>34</x:v>
      </x:c>
      <x:c r="B17" s="28" t="s">
        <x:v>35</x:v>
      </x:c>
      <x:c r="C17" s="29">
        <x:v>2600</x:v>
      </x:c>
      <x:c r="D17" s="29">
        <x:f>N7</x:f>
      </x:c>
      <x:c r="E17" s="30">
        <x:f>IFERROR(D17/C17,0)</x:f>
      </x:c>
      <x:c r="F17" s="40">
        <x:f>RANK(E17,$E$17:$E$21)</x:f>
      </x:c>
    </x:row>
    <x:row r="18">
      <x:c r="A18" s="28" t="s">
        <x:v>36</x:v>
      </x:c>
      <x:c r="B18" s="28" t="s">
        <x:v>37</x:v>
      </x:c>
      <x:c r="C18" s="29">
        <x:v>1900</x:v>
      </x:c>
      <x:c r="D18" s="29">
        <x:f>N8</x:f>
      </x:c>
      <x:c r="E18" s="30">
        <x:f>IFERROR(D18/C18,0)</x:f>
      </x:c>
      <x:c r="F18" s="40">
        <x:f>RANK(E18,$E$17:$E$21)</x:f>
      </x:c>
    </x:row>
    <x:row r="19">
      <x:c r="A19" s="28" t="s">
        <x:v>38</x:v>
      </x:c>
      <x:c r="B19" s="28" t="s">
        <x:v>39</x:v>
      </x:c>
      <x:c r="C19" s="29">
        <x:v>1800</x:v>
      </x:c>
      <x:c r="D19" s="29">
        <x:f>N9</x:f>
      </x:c>
      <x:c r="E19" s="30">
        <x:f>IFERROR(D19/C19,0)</x:f>
      </x:c>
      <x:c r="F19" s="40">
        <x:f>RANK(E19,$E$17:$E$21)</x:f>
      </x:c>
    </x:row>
    <x:row r="20">
      <x:c r="A20" s="28" t="s">
        <x:v>40</x:v>
      </x:c>
      <x:c r="B20" s="28" t="s">
        <x:v>41</x:v>
      </x:c>
      <x:c r="C20" s="29">
        <x:v>1100</x:v>
      </x:c>
      <x:c r="D20" s="29">
        <x:f>N10</x:f>
      </x:c>
      <x:c r="E20" s="30">
        <x:f>IFERROR(D20/C20,0)</x:f>
      </x:c>
      <x:c r="F20" s="40">
        <x:f>RANK(E20,$E$17:$E$21)</x:f>
      </x:c>
    </x:row>
    <x:row r="21">
      <x:c r="A21" s="28" t="s">
        <x:v>42</x:v>
      </x:c>
      <x:c r="B21" s="28" t="s">
        <x:v>43</x:v>
      </x:c>
      <x:c r="C21" s="29">
        <x:v>1000</x:v>
      </x:c>
      <x:c r="D21" s="29">
        <x:f>N11</x:f>
      </x:c>
      <x:c r="E21" s="30">
        <x:f>IFERROR(D21/C21,0)</x:f>
      </x:c>
      <x:c r="F21" s="40">
        <x:f>RANK(E21,$E$17:$E$21)</x:f>
      </x:c>
    </x:row>
  </x:sheetData>
  <x:mergeCells count="9">
    <x:mergeCell ref="A1:O1"/>
    <x:mergeCell ref="A3:B3"/>
    <x:mergeCell ref="A4:B4"/>
    <x:mergeCell ref="C3:D3"/>
    <x:mergeCell ref="C4:D4"/>
    <x:mergeCell ref="E3:F3"/>
    <x:mergeCell ref="E4:F4"/>
    <x:mergeCell ref="G3:H3"/>
    <x:mergeCell ref="G4:H4"/>
  </x:mergeCells>
  <x:drawing xmlns:r="http://schemas.openxmlformats.org/officeDocument/2006/relationships" r:id="Rb38dee0e59a9411b"/>
</x:worksheet>
</file>